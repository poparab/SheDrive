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SheDrive\High Level Estimate\"/>
    </mc:Choice>
  </mc:AlternateContent>
  <bookViews>
    <workbookView xWindow="0" yWindow="0" windowWidth="23040" windowHeight="9072" activeTab="1"/>
  </bookViews>
  <sheets>
    <sheet name="Features" sheetId="1" r:id="rId1"/>
    <sheet name="Estimate Summary" sheetId="2" r:id="rId2"/>
    <sheet name="Guidelines" sheetId="3" r:id="rId3"/>
  </sheets>
  <definedNames>
    <definedName name="_xlnm._FilterDatabase" localSheetId="0" hidden="1">Features!$A$1:$H$33</definedName>
  </definedNames>
  <calcPr calcId="162913"/>
</workbook>
</file>

<file path=xl/calcChain.xml><?xml version="1.0" encoding="utf-8"?>
<calcChain xmlns="http://schemas.openxmlformats.org/spreadsheetml/2006/main">
  <c r="F37" i="1" l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2" i="2" l="1"/>
  <c r="B9" i="2" s="1"/>
</calcChain>
</file>

<file path=xl/sharedStrings.xml><?xml version="1.0" encoding="utf-8"?>
<sst xmlns="http://schemas.openxmlformats.org/spreadsheetml/2006/main" count="297" uniqueCount="145">
  <si>
    <t>Module</t>
  </si>
  <si>
    <t>Feature</t>
  </si>
  <si>
    <t>Criteria</t>
  </si>
  <si>
    <t>Estimate</t>
  </si>
  <si>
    <t>Risk</t>
  </si>
  <si>
    <t>Total Time</t>
  </si>
  <si>
    <t>Priority</t>
  </si>
  <si>
    <t>Notes</t>
  </si>
  <si>
    <t>Driver App (Flutter)</t>
  </si>
  <si>
    <t>Approval Pending / Rejected UX</t>
  </si>
  <si>
    <t>Show onboarding status (pending/approved/rejected) with guidance and next steps.</t>
  </si>
  <si>
    <t>S (5)</t>
  </si>
  <si>
    <t>Low (1.1)</t>
  </si>
  <si>
    <t>Must</t>
  </si>
  <si>
    <t>Background Location Sharing (Driver)</t>
  </si>
  <si>
    <t>Foreground service (Android) + background modes (iOS) to continuously share driver location during online/active trip; battery-safe throttling; permission flows.</t>
  </si>
  <si>
    <t>XL (32)</t>
  </si>
  <si>
    <t>High (1.5)</t>
  </si>
  <si>
    <t>Driver Cancellation</t>
  </si>
  <si>
    <t>Cancel ride with mandatory reason, confirmation dialogs, penalty warnings (if any).</t>
  </si>
  <si>
    <t>Driver Document Upload</t>
  </si>
  <si>
    <t>Upload required documents (ID, licenses, etc.), image/PDF support, progress, resubmission flows.</t>
  </si>
  <si>
    <t>L (17)</t>
  </si>
  <si>
    <t>Depends on required doc list; integrates camera/gallery.</t>
  </si>
  <si>
    <t>Driver Home + Availability Toggle</t>
  </si>
  <si>
    <t>Online/offline switch, status banner, current ride indicator, map baseline.</t>
  </si>
  <si>
    <t>M (10)</t>
  </si>
  <si>
    <t>Medium (1.25)</t>
  </si>
  <si>
    <t>Driver Onboarding Forms (Profile)</t>
  </si>
  <si>
    <t>Capture driver personal details &amp; required fields; validation; status screens.</t>
  </si>
  <si>
    <t>Driver Trip History</t>
  </si>
  <si>
    <t>List completed trips, trip details, filters basic.</t>
  </si>
  <si>
    <t>Earnings Summary</t>
  </si>
  <si>
    <t>Trip-level earnings list and summary totals (no payouts).</t>
  </si>
  <si>
    <t>Incoming Ride Request</t>
  </si>
  <si>
    <t>Ride request card, accept/decline, timeout UX, sound/vibration, lockscreen behavior (best effort).</t>
  </si>
  <si>
    <t>Depends on push payload and foreground/background handling.</t>
  </si>
  <si>
    <t>Navigate to Pickup / Destination (Driver)</t>
  </si>
  <si>
    <t>Launch external navigation (Google Maps) with coordinates; fallback if not installed.</t>
  </si>
  <si>
    <t>Avoids building turn-by-turn navigation in-app.</t>
  </si>
  <si>
    <t>Notification Handling (Driver)</t>
  </si>
  <si>
    <t>Handle push navigation to incoming requests/trip screens; foreground banners; sound policy.</t>
  </si>
  <si>
    <t>Registration &amp; Login</t>
  </si>
  <si>
    <t>Driver login/signup using OTP, resend/expiry UX, logout.</t>
  </si>
  <si>
    <t>SOS</t>
  </si>
  <si>
    <t>SOS button UX during active trip, confirmation, status feedback.</t>
  </si>
  <si>
    <t>Trip Execution</t>
  </si>
  <si>
    <t>Screens for arrived/start trip/end trip; safety access; handling network drop/retry.</t>
  </si>
  <si>
    <t>Rider App (Flutter)</t>
  </si>
  <si>
    <t>Cancel Ride</t>
  </si>
  <si>
    <t>Cancel confirmation, reason list, fee warning display (if any), success/error handling.</t>
  </si>
  <si>
    <t>Destination Search &amp; Selection</t>
  </si>
  <si>
    <t>Search places, show suggestions, select destination, recent places (optional).</t>
  </si>
  <si>
    <t>Depends on Maps provider APIs exposed by backend or direct SDK.</t>
  </si>
  <si>
    <t>Fare Estimate &amp; Trip Summary Preview</t>
  </si>
  <si>
    <t>Display estimated fare, distance, duration/ETA; confirmation.</t>
  </si>
  <si>
    <t>Home Map + Pickup Location Selection</t>
  </si>
  <si>
    <t>Map view centered on user, pickup pin selection, current location button, permission prompts.</t>
  </si>
  <si>
    <t>Google Maps Flutter plugin; handles GPS permission and errors.</t>
  </si>
  <si>
    <t>Live Trip Tracking Map</t>
  </si>
  <si>
    <t>Show driver on map, route polyline (optional), dynamic ETA, follow mode, map performance.</t>
  </si>
  <si>
    <t>Real-time updates via sockets/stream/polling.</t>
  </si>
  <si>
    <t>Notification Handling (Rider)</t>
  </si>
  <si>
    <t>Handle push notification navigation to ride screens; in-app banners; badge counters (optional).</t>
  </si>
  <si>
    <t>Payment UI Flow</t>
  </si>
  <si>
    <t>Payment initiation mobile; redirect/WebView/SDK handling; success/failure screens; retry UX.</t>
  </si>
  <si>
    <t>Depends on PSP integration method (web redirect vs SDK).</t>
  </si>
  <si>
    <t>Rate Trip</t>
  </si>
  <si>
    <t>Rating input, feedback form, submit success/failure UX.</t>
  </si>
  <si>
    <t>XS (2)</t>
  </si>
  <si>
    <t>Mobile number entry, OTP input, resend/expiry UX, error states, logout flow.</t>
  </si>
  <si>
    <t>Ride Request Flow</t>
  </si>
  <si>
    <t>Request ride confirmation, searching state, assigned driver details, countdown/timeout UX.</t>
  </si>
  <si>
    <t>Ride Status Screen (Lifecycle UI)</t>
  </si>
  <si>
    <t>states for assigned/arrived/started/completed/cancelled; handle reconnect and refresh.</t>
  </si>
  <si>
    <t>Rider Identity Verification</t>
  </si>
  <si>
    <t>Capture National ID (front/back) + selfie, image quality guidance, upload progress, status (pending/approved/rejected).</t>
  </si>
  <si>
    <t>Uses camera + image picker; depends on provider UX requirements.</t>
  </si>
  <si>
    <t>Rider Profile (View/Edit)</t>
  </si>
  <si>
    <t>Profile view &amp; edit screens; validation; language preference; account status.</t>
  </si>
  <si>
    <t>SOS button UX during active trip, confirmation, status feedback; quick access design.</t>
  </si>
  <si>
    <t>Backend handles escalation; mobile handles UX and event send.</t>
  </si>
  <si>
    <t>Trip Completion &amp; Receipt</t>
  </si>
  <si>
    <t>Trip summary screen, fare breakdown, payment status, driver info, next actions.</t>
  </si>
  <si>
    <t>Trip History</t>
  </si>
  <si>
    <t>List past trips, filter basics, trip details screen.</t>
  </si>
  <si>
    <t>Trip Sharing</t>
  </si>
  <si>
    <t>Share trip link/details to contacts via OS share sheet; copy link; optional SMS share.</t>
  </si>
  <si>
    <t>Should</t>
  </si>
  <si>
    <t>Mobile / Shared</t>
  </si>
  <si>
    <t>Client Logging &amp; Crash Reporting</t>
  </si>
  <si>
    <t>In-app logs, crash reporting integration, basic breadcrumbs for debugging (no BI).</t>
  </si>
  <si>
    <t>Localization (AR/EN) + RTL Support</t>
  </si>
  <si>
    <t>Internationalization, Arabic RTL layout validation, language switch, date/number formats.</t>
  </si>
  <si>
    <t>Assumes translations provided.</t>
  </si>
  <si>
    <t>Push Notifications Setup (FCM/APNs)</t>
  </si>
  <si>
    <t>Integrate Firebase Cloud Messaging for iOS/Android, handle token registration, background/foreground handling.</t>
  </si>
  <si>
    <t>Includes payload parsing + deep-link routing.</t>
  </si>
  <si>
    <t>Trip Chat</t>
  </si>
  <si>
    <t>Reusable chat component: message list, input, send state, timestamps, basic moderation messages; trip-scoped.</t>
  </si>
  <si>
    <t>Backend provides token/channel; no media/voice in MVP.</t>
  </si>
  <si>
    <t>Team Efforts</t>
  </si>
  <si>
    <t>Development Effort</t>
  </si>
  <si>
    <t>Days</t>
  </si>
  <si>
    <t>Number of Dev members</t>
  </si>
  <si>
    <t>Developers</t>
  </si>
  <si>
    <t xml:space="preserve">Release planning </t>
  </si>
  <si>
    <t>#</t>
  </si>
  <si>
    <t>Sprint Zero</t>
  </si>
  <si>
    <t>Stabilization Sprints</t>
  </si>
  <si>
    <t xml:space="preserve">Fixing Security Risks </t>
  </si>
  <si>
    <t xml:space="preserve">Deployment </t>
  </si>
  <si>
    <t>Expected sprints</t>
  </si>
  <si>
    <t>Sprints</t>
  </si>
  <si>
    <t>10 working days per sprint</t>
  </si>
  <si>
    <t>Project Resources</t>
  </si>
  <si>
    <t xml:space="preserve">Role </t>
  </si>
  <si>
    <t xml:space="preserve">Count </t>
  </si>
  <si>
    <t>Duration (days)</t>
  </si>
  <si>
    <t>Senior QC engineer</t>
  </si>
  <si>
    <t>UIUX designer</t>
  </si>
  <si>
    <t>Product Owner</t>
  </si>
  <si>
    <t>Scrum Master</t>
  </si>
  <si>
    <t>Description</t>
  </si>
  <si>
    <t>Will be included in MVP</t>
  </si>
  <si>
    <t>Could be in the next phase</t>
  </si>
  <si>
    <t>Could</t>
  </si>
  <si>
    <t xml:space="preserve">Features which enhanceming the product </t>
  </si>
  <si>
    <t>Would</t>
  </si>
  <si>
    <t>Nice To Have</t>
  </si>
  <si>
    <t>No Risk (1)</t>
  </si>
  <si>
    <t>The task is standard, previously done before, fully understood, and with stable requirements. No integrations, no dependencies, and no expected surprises. Fully predictable execution.</t>
  </si>
  <si>
    <t>Minor uncertainty exists. The task includes slight variations from previous work, small UI/UX changes, or simple API interactions. Requirements are mostly clear with minimal change expected. Low dependency on other teams.</t>
  </si>
  <si>
    <t>Moderate complexity or uncertainty. The task involves new data mapping, multi-step workflow, or integration with partially documented services. Requirements may need clarification. There are dependencies with multiple stakeholders or teams.</t>
  </si>
  <si>
    <t>High complexity or uncertainty. The task involves new technology, advanced integrations, multi-module impact, compliance/security constraints, or unclear/volatile requirements. High probability of changes, unknowns, or delays.</t>
  </si>
  <si>
    <t>Size</t>
  </si>
  <si>
    <t>0 (0)</t>
  </si>
  <si>
    <t>excluded or already exist</t>
  </si>
  <si>
    <t>Permissions Framework &amp; setup</t>
  </si>
  <si>
    <t>Unified permission handling for location, camera, storage/photos, notifications; user education screens;deeplink;..etc;Secure Storage &amp; Session Handling</t>
  </si>
  <si>
    <t>requires careful platform configuration.</t>
  </si>
  <si>
    <t>reuse shared auth components.</t>
  </si>
  <si>
    <t>e.g: Firebase Crashlytics / Sentry.</t>
  </si>
  <si>
    <t>Mobile app Team Leader</t>
  </si>
  <si>
    <t>Mobile app Senior Developer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</si>
</sst>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27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3" fillId="0" borderId="8" xfId="1" applyFont="1" applyBorder="1"/>
    <xf numFmtId="0" fontId="3" fillId="0" borderId="9" xfId="1" applyFont="1" applyBorder="1"/>
    <xf numFmtId="0" fontId="3" fillId="0" borderId="10" xfId="1" applyFont="1" applyBorder="1"/>
    <xf numFmtId="0" fontId="4" fillId="0" borderId="11" xfId="0" applyFont="1" applyBorder="1"/>
    <xf numFmtId="0" fontId="4" fillId="0" borderId="12" xfId="2" applyFont="1" applyBorder="1"/>
    <xf numFmtId="0" fontId="4" fillId="0" borderId="13" xfId="1" applyFont="1" applyBorder="1"/>
    <xf numFmtId="0" fontId="4" fillId="0" borderId="14" xfId="0" applyFont="1" applyBorder="1"/>
    <xf numFmtId="0" fontId="4" fillId="0" borderId="15" xfId="2" applyFont="1" applyBorder="1"/>
    <xf numFmtId="0" fontId="4" fillId="0" borderId="16" xfId="1" applyFont="1" applyBorder="1"/>
    <xf numFmtId="0" fontId="4" fillId="0" borderId="14" xfId="2" applyFont="1" applyBorder="1"/>
    <xf numFmtId="0" fontId="4" fillId="0" borderId="14" xfId="1" applyFont="1" applyBorder="1"/>
    <xf numFmtId="0" fontId="4" fillId="0" borderId="15" xfId="1" applyFont="1" applyBorder="1"/>
    <xf numFmtId="0" fontId="4" fillId="0" borderId="17" xfId="1" applyFont="1" applyBorder="1"/>
    <xf numFmtId="0" fontId="4" fillId="0" borderId="18" xfId="1" applyFont="1" applyBorder="1"/>
    <xf numFmtId="0" fontId="4" fillId="0" borderId="19" xfId="1" applyFont="1" applyBorder="1"/>
    <xf numFmtId="0" fontId="0" fillId="0" borderId="0" xfId="0"/>
    <xf numFmtId="0" fontId="0" fillId="0" borderId="0" xfId="0" applyAlignment="1">
      <alignment horizontal="left"/>
    </xf>
    <xf numFmtId="0" fontId="0" fillId="2" borderId="0" xfId="0" applyFill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pane ySplit="1" topLeftCell="A2" activePane="bottomLeft" state="frozen"/>
      <selection pane="bottomLeft" activeCell="B30" sqref="B30"/>
    </sheetView>
  </sheetViews>
  <sheetFormatPr defaultRowHeight="14.4" x14ac:dyDescent="0.3"/>
  <cols>
    <col min="1" max="1" width="19.6640625" style="24" bestFit="1" customWidth="1"/>
    <col min="2" max="2" width="43.33203125" style="24" bestFit="1" customWidth="1"/>
    <col min="3" max="3" width="114.109375" style="24" bestFit="1" customWidth="1"/>
    <col min="4" max="4" width="10.44140625" style="24" bestFit="1" customWidth="1"/>
    <col min="5" max="5" width="12.77734375" style="24" bestFit="1" customWidth="1"/>
    <col min="6" max="6" width="12" style="24" bestFit="1" customWidth="1"/>
    <col min="7" max="7" width="7.109375" style="24" bestFit="1" customWidth="1"/>
  </cols>
  <sheetData>
    <row r="1" spans="1:8" s="1" customFormat="1" x14ac:dyDescent="0.3">
      <c r="A1" s="2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69</v>
      </c>
      <c r="E2" t="s">
        <v>130</v>
      </c>
      <c r="F2">
        <f t="shared" ref="F2:F37" si="0">VALUE(MID(D2, FIND("(", D2)+1, FIND(")", D2)-FIND("(", D2)-1)) * VALUE(MID(E2, FIND("(", E2)+1, FIND(")", E2)-FIND("(", E2)-1))</f>
        <v>2</v>
      </c>
      <c r="G2" t="s">
        <v>13</v>
      </c>
    </row>
    <row r="3" spans="1:8" x14ac:dyDescent="0.3">
      <c r="A3" t="s">
        <v>8</v>
      </c>
      <c r="B3" t="s">
        <v>14</v>
      </c>
      <c r="C3" t="s">
        <v>15</v>
      </c>
      <c r="D3" t="s">
        <v>11</v>
      </c>
      <c r="E3" s="24" t="s">
        <v>27</v>
      </c>
      <c r="F3">
        <f t="shared" si="0"/>
        <v>6.25</v>
      </c>
      <c r="G3" t="s">
        <v>13</v>
      </c>
      <c r="H3" t="s">
        <v>140</v>
      </c>
    </row>
    <row r="4" spans="1:8" x14ac:dyDescent="0.3">
      <c r="A4" t="s">
        <v>8</v>
      </c>
      <c r="B4" t="s">
        <v>18</v>
      </c>
      <c r="C4" t="s">
        <v>19</v>
      </c>
      <c r="D4" t="s">
        <v>69</v>
      </c>
      <c r="E4" s="24" t="s">
        <v>130</v>
      </c>
      <c r="F4">
        <f t="shared" si="0"/>
        <v>2</v>
      </c>
      <c r="G4" t="s">
        <v>13</v>
      </c>
    </row>
    <row r="5" spans="1:8" x14ac:dyDescent="0.3">
      <c r="A5" t="s">
        <v>8</v>
      </c>
      <c r="B5" t="s">
        <v>20</v>
      </c>
      <c r="C5" t="s">
        <v>21</v>
      </c>
      <c r="D5" t="s">
        <v>69</v>
      </c>
      <c r="E5" s="24" t="s">
        <v>130</v>
      </c>
      <c r="F5">
        <f t="shared" si="0"/>
        <v>2</v>
      </c>
      <c r="G5" t="s">
        <v>13</v>
      </c>
      <c r="H5" t="s">
        <v>23</v>
      </c>
    </row>
    <row r="6" spans="1:8" x14ac:dyDescent="0.3">
      <c r="A6" t="s">
        <v>8</v>
      </c>
      <c r="B6" t="s">
        <v>24</v>
      </c>
      <c r="C6" t="s">
        <v>25</v>
      </c>
      <c r="D6" t="s">
        <v>11</v>
      </c>
      <c r="E6" s="24" t="s">
        <v>130</v>
      </c>
      <c r="F6">
        <f t="shared" si="0"/>
        <v>5</v>
      </c>
      <c r="G6" t="s">
        <v>13</v>
      </c>
    </row>
    <row r="7" spans="1:8" x14ac:dyDescent="0.3">
      <c r="A7" t="s">
        <v>8</v>
      </c>
      <c r="B7" t="s">
        <v>28</v>
      </c>
      <c r="C7" t="s">
        <v>29</v>
      </c>
      <c r="D7" t="s">
        <v>69</v>
      </c>
      <c r="E7" s="24" t="s">
        <v>130</v>
      </c>
      <c r="F7">
        <f t="shared" si="0"/>
        <v>2</v>
      </c>
      <c r="G7" t="s">
        <v>13</v>
      </c>
    </row>
    <row r="8" spans="1:8" x14ac:dyDescent="0.3">
      <c r="A8" t="s">
        <v>8</v>
      </c>
      <c r="B8" t="s">
        <v>30</v>
      </c>
      <c r="C8" t="s">
        <v>31</v>
      </c>
      <c r="D8" t="s">
        <v>69</v>
      </c>
      <c r="E8" s="24" t="s">
        <v>130</v>
      </c>
      <c r="F8">
        <f t="shared" si="0"/>
        <v>2</v>
      </c>
      <c r="G8" t="s">
        <v>13</v>
      </c>
    </row>
    <row r="9" spans="1:8" x14ac:dyDescent="0.3">
      <c r="A9" t="s">
        <v>8</v>
      </c>
      <c r="B9" t="s">
        <v>32</v>
      </c>
      <c r="C9" t="s">
        <v>33</v>
      </c>
      <c r="D9" t="s">
        <v>11</v>
      </c>
      <c r="E9" s="24" t="s">
        <v>130</v>
      </c>
      <c r="F9">
        <f t="shared" si="0"/>
        <v>5</v>
      </c>
      <c r="G9" t="s">
        <v>13</v>
      </c>
    </row>
    <row r="10" spans="1:8" x14ac:dyDescent="0.3">
      <c r="A10" t="s">
        <v>8</v>
      </c>
      <c r="B10" t="s">
        <v>34</v>
      </c>
      <c r="C10" t="s">
        <v>35</v>
      </c>
      <c r="D10" t="s">
        <v>11</v>
      </c>
      <c r="E10" s="24" t="s">
        <v>130</v>
      </c>
      <c r="F10">
        <f t="shared" si="0"/>
        <v>5</v>
      </c>
      <c r="G10" t="s">
        <v>13</v>
      </c>
      <c r="H10" t="s">
        <v>36</v>
      </c>
    </row>
    <row r="11" spans="1:8" x14ac:dyDescent="0.3">
      <c r="A11" t="s">
        <v>8</v>
      </c>
      <c r="B11" t="s">
        <v>37</v>
      </c>
      <c r="C11" t="s">
        <v>38</v>
      </c>
      <c r="D11" t="s">
        <v>69</v>
      </c>
      <c r="E11" s="24" t="s">
        <v>12</v>
      </c>
      <c r="F11">
        <f t="shared" si="0"/>
        <v>2.2000000000000002</v>
      </c>
      <c r="G11" t="s">
        <v>13</v>
      </c>
      <c r="H11" t="s">
        <v>39</v>
      </c>
    </row>
    <row r="12" spans="1:8" x14ac:dyDescent="0.3">
      <c r="A12" t="s">
        <v>8</v>
      </c>
      <c r="B12" t="s">
        <v>40</v>
      </c>
      <c r="C12" t="s">
        <v>41</v>
      </c>
      <c r="D12" t="s">
        <v>11</v>
      </c>
      <c r="E12" s="24" t="s">
        <v>12</v>
      </c>
      <c r="F12">
        <f t="shared" si="0"/>
        <v>5.5</v>
      </c>
      <c r="G12" t="s">
        <v>13</v>
      </c>
    </row>
    <row r="13" spans="1:8" x14ac:dyDescent="0.3">
      <c r="A13" t="s">
        <v>8</v>
      </c>
      <c r="B13" t="s">
        <v>42</v>
      </c>
      <c r="C13" t="s">
        <v>43</v>
      </c>
      <c r="D13" t="s">
        <v>69</v>
      </c>
      <c r="E13" s="24" t="s">
        <v>130</v>
      </c>
      <c r="F13">
        <f t="shared" si="0"/>
        <v>2</v>
      </c>
      <c r="G13" t="s">
        <v>13</v>
      </c>
      <c r="H13" t="s">
        <v>141</v>
      </c>
    </row>
    <row r="14" spans="1:8" x14ac:dyDescent="0.3">
      <c r="A14" t="s">
        <v>8</v>
      </c>
      <c r="B14" t="s">
        <v>44</v>
      </c>
      <c r="C14" t="s">
        <v>45</v>
      </c>
      <c r="D14" t="s">
        <v>69</v>
      </c>
      <c r="E14" s="24" t="s">
        <v>130</v>
      </c>
      <c r="F14">
        <f t="shared" si="0"/>
        <v>2</v>
      </c>
      <c r="G14" t="s">
        <v>13</v>
      </c>
    </row>
    <row r="15" spans="1:8" x14ac:dyDescent="0.3">
      <c r="A15" t="s">
        <v>8</v>
      </c>
      <c r="B15" t="s">
        <v>46</v>
      </c>
      <c r="C15" t="s">
        <v>47</v>
      </c>
      <c r="D15" t="s">
        <v>11</v>
      </c>
      <c r="E15" s="24" t="s">
        <v>27</v>
      </c>
      <c r="F15">
        <f t="shared" si="0"/>
        <v>6.25</v>
      </c>
      <c r="G15" t="s">
        <v>13</v>
      </c>
    </row>
    <row r="16" spans="1:8" x14ac:dyDescent="0.3">
      <c r="A16" t="s">
        <v>48</v>
      </c>
      <c r="B16" t="s">
        <v>49</v>
      </c>
      <c r="C16" t="s">
        <v>50</v>
      </c>
      <c r="D16" t="s">
        <v>11</v>
      </c>
      <c r="E16" s="24" t="s">
        <v>130</v>
      </c>
      <c r="F16">
        <f t="shared" si="0"/>
        <v>5</v>
      </c>
      <c r="G16" t="s">
        <v>13</v>
      </c>
    </row>
    <row r="17" spans="1:8" x14ac:dyDescent="0.3">
      <c r="A17" t="s">
        <v>48</v>
      </c>
      <c r="B17" t="s">
        <v>51</v>
      </c>
      <c r="C17" t="s">
        <v>52</v>
      </c>
      <c r="D17" t="s">
        <v>69</v>
      </c>
      <c r="E17" s="24" t="s">
        <v>12</v>
      </c>
      <c r="F17">
        <f t="shared" si="0"/>
        <v>2.2000000000000002</v>
      </c>
      <c r="G17" t="s">
        <v>13</v>
      </c>
      <c r="H17" t="s">
        <v>53</v>
      </c>
    </row>
    <row r="18" spans="1:8" x14ac:dyDescent="0.3">
      <c r="A18" t="s">
        <v>48</v>
      </c>
      <c r="B18" t="s">
        <v>54</v>
      </c>
      <c r="C18" t="s">
        <v>55</v>
      </c>
      <c r="D18" t="s">
        <v>11</v>
      </c>
      <c r="E18" s="24" t="s">
        <v>130</v>
      </c>
      <c r="F18">
        <f t="shared" si="0"/>
        <v>5</v>
      </c>
      <c r="G18" t="s">
        <v>13</v>
      </c>
    </row>
    <row r="19" spans="1:8" x14ac:dyDescent="0.3">
      <c r="A19" t="s">
        <v>48</v>
      </c>
      <c r="B19" t="s">
        <v>56</v>
      </c>
      <c r="C19" t="s">
        <v>57</v>
      </c>
      <c r="D19" t="s">
        <v>69</v>
      </c>
      <c r="E19" s="24" t="s">
        <v>130</v>
      </c>
      <c r="F19">
        <f t="shared" si="0"/>
        <v>2</v>
      </c>
      <c r="G19" t="s">
        <v>13</v>
      </c>
      <c r="H19" t="s">
        <v>58</v>
      </c>
    </row>
    <row r="20" spans="1:8" x14ac:dyDescent="0.3">
      <c r="A20" t="s">
        <v>48</v>
      </c>
      <c r="B20" t="s">
        <v>59</v>
      </c>
      <c r="C20" t="s">
        <v>60</v>
      </c>
      <c r="D20" t="s">
        <v>69</v>
      </c>
      <c r="E20" s="24" t="s">
        <v>130</v>
      </c>
      <c r="F20">
        <f t="shared" si="0"/>
        <v>2</v>
      </c>
      <c r="G20" t="s">
        <v>13</v>
      </c>
      <c r="H20" t="s">
        <v>61</v>
      </c>
    </row>
    <row r="21" spans="1:8" x14ac:dyDescent="0.3">
      <c r="A21" t="s">
        <v>48</v>
      </c>
      <c r="B21" t="s">
        <v>62</v>
      </c>
      <c r="C21" t="s">
        <v>63</v>
      </c>
      <c r="D21" t="s">
        <v>69</v>
      </c>
      <c r="E21" s="24" t="s">
        <v>130</v>
      </c>
      <c r="F21">
        <f t="shared" si="0"/>
        <v>2</v>
      </c>
      <c r="G21" t="s">
        <v>13</v>
      </c>
    </row>
    <row r="22" spans="1:8" x14ac:dyDescent="0.3">
      <c r="A22" t="s">
        <v>48</v>
      </c>
      <c r="B22" t="s">
        <v>64</v>
      </c>
      <c r="C22" t="s">
        <v>65</v>
      </c>
      <c r="D22" t="s">
        <v>11</v>
      </c>
      <c r="E22" s="24" t="s">
        <v>27</v>
      </c>
      <c r="F22">
        <f t="shared" si="0"/>
        <v>6.25</v>
      </c>
      <c r="G22" t="s">
        <v>13</v>
      </c>
      <c r="H22" t="s">
        <v>66</v>
      </c>
    </row>
    <row r="23" spans="1:8" x14ac:dyDescent="0.3">
      <c r="A23" t="s">
        <v>48</v>
      </c>
      <c r="B23" t="s">
        <v>67</v>
      </c>
      <c r="C23" t="s">
        <v>68</v>
      </c>
      <c r="D23" t="s">
        <v>69</v>
      </c>
      <c r="E23" s="24" t="s">
        <v>130</v>
      </c>
      <c r="F23">
        <f t="shared" si="0"/>
        <v>2</v>
      </c>
      <c r="G23" t="s">
        <v>13</v>
      </c>
    </row>
    <row r="24" spans="1:8" x14ac:dyDescent="0.3">
      <c r="A24" t="s">
        <v>48</v>
      </c>
      <c r="B24" t="s">
        <v>42</v>
      </c>
      <c r="C24" t="s">
        <v>70</v>
      </c>
      <c r="D24" t="s">
        <v>69</v>
      </c>
      <c r="E24" s="24" t="s">
        <v>130</v>
      </c>
      <c r="F24">
        <f t="shared" si="0"/>
        <v>2</v>
      </c>
      <c r="G24" t="s">
        <v>13</v>
      </c>
    </row>
    <row r="25" spans="1:8" x14ac:dyDescent="0.3">
      <c r="A25" t="s">
        <v>48</v>
      </c>
      <c r="B25" t="s">
        <v>71</v>
      </c>
      <c r="C25" t="s">
        <v>72</v>
      </c>
      <c r="D25" t="s">
        <v>11</v>
      </c>
      <c r="E25" s="24" t="s">
        <v>12</v>
      </c>
      <c r="F25">
        <f t="shared" si="0"/>
        <v>5.5</v>
      </c>
      <c r="G25" t="s">
        <v>13</v>
      </c>
    </row>
    <row r="26" spans="1:8" s="26" customFormat="1" x14ac:dyDescent="0.3">
      <c r="A26" t="s">
        <v>48</v>
      </c>
      <c r="B26" t="s">
        <v>73</v>
      </c>
      <c r="C26" t="s">
        <v>74</v>
      </c>
      <c r="D26" t="s">
        <v>69</v>
      </c>
      <c r="E26" s="24" t="s">
        <v>130</v>
      </c>
      <c r="F26">
        <f t="shared" si="0"/>
        <v>2</v>
      </c>
      <c r="G26" t="s">
        <v>13</v>
      </c>
    </row>
    <row r="27" spans="1:8" x14ac:dyDescent="0.3">
      <c r="A27" t="s">
        <v>48</v>
      </c>
      <c r="B27" t="s">
        <v>75</v>
      </c>
      <c r="C27" t="s">
        <v>76</v>
      </c>
      <c r="D27" t="s">
        <v>69</v>
      </c>
      <c r="E27" s="24" t="s">
        <v>130</v>
      </c>
      <c r="F27">
        <f t="shared" si="0"/>
        <v>2</v>
      </c>
      <c r="G27" t="s">
        <v>13</v>
      </c>
      <c r="H27" t="s">
        <v>77</v>
      </c>
    </row>
    <row r="28" spans="1:8" x14ac:dyDescent="0.3">
      <c r="A28" t="s">
        <v>48</v>
      </c>
      <c r="B28" t="s">
        <v>78</v>
      </c>
      <c r="C28" t="s">
        <v>79</v>
      </c>
      <c r="D28" t="s">
        <v>69</v>
      </c>
      <c r="E28" s="24" t="s">
        <v>130</v>
      </c>
      <c r="F28">
        <f t="shared" si="0"/>
        <v>2</v>
      </c>
      <c r="G28" t="s">
        <v>13</v>
      </c>
    </row>
    <row r="29" spans="1:8" s="26" customFormat="1" x14ac:dyDescent="0.3">
      <c r="A29" t="s">
        <v>48</v>
      </c>
      <c r="B29" t="s">
        <v>44</v>
      </c>
      <c r="C29" t="s">
        <v>80</v>
      </c>
      <c r="D29" t="s">
        <v>69</v>
      </c>
      <c r="E29" s="24" t="s">
        <v>130</v>
      </c>
      <c r="F29">
        <f t="shared" si="0"/>
        <v>2</v>
      </c>
      <c r="G29" t="s">
        <v>13</v>
      </c>
      <c r="H29" t="s">
        <v>81</v>
      </c>
    </row>
    <row r="30" spans="1:8" x14ac:dyDescent="0.3">
      <c r="A30" t="s">
        <v>48</v>
      </c>
      <c r="B30" t="s">
        <v>82</v>
      </c>
      <c r="C30" t="s">
        <v>83</v>
      </c>
      <c r="D30" t="s">
        <v>69</v>
      </c>
      <c r="E30" s="24" t="s">
        <v>130</v>
      </c>
      <c r="F30">
        <f t="shared" si="0"/>
        <v>2</v>
      </c>
      <c r="G30" t="s">
        <v>13</v>
      </c>
    </row>
    <row r="31" spans="1:8" x14ac:dyDescent="0.3">
      <c r="A31" t="s">
        <v>48</v>
      </c>
      <c r="B31" t="s">
        <v>84</v>
      </c>
      <c r="C31" t="s">
        <v>85</v>
      </c>
      <c r="D31" t="s">
        <v>69</v>
      </c>
      <c r="E31" s="24" t="s">
        <v>130</v>
      </c>
      <c r="F31">
        <f t="shared" si="0"/>
        <v>2</v>
      </c>
      <c r="G31" t="s">
        <v>13</v>
      </c>
    </row>
    <row r="32" spans="1:8" x14ac:dyDescent="0.3">
      <c r="A32" t="s">
        <v>48</v>
      </c>
      <c r="B32" t="s">
        <v>86</v>
      </c>
      <c r="C32" t="s">
        <v>87</v>
      </c>
      <c r="D32" t="s">
        <v>69</v>
      </c>
      <c r="E32" s="24" t="s">
        <v>130</v>
      </c>
      <c r="F32">
        <f t="shared" si="0"/>
        <v>2</v>
      </c>
      <c r="G32" t="s">
        <v>88</v>
      </c>
    </row>
    <row r="33" spans="1:8" x14ac:dyDescent="0.3">
      <c r="A33" t="s">
        <v>89</v>
      </c>
      <c r="B33" t="s">
        <v>90</v>
      </c>
      <c r="C33" t="s">
        <v>91</v>
      </c>
      <c r="D33" t="s">
        <v>11</v>
      </c>
      <c r="E33" s="24" t="s">
        <v>130</v>
      </c>
      <c r="F33">
        <f t="shared" si="0"/>
        <v>5</v>
      </c>
      <c r="G33" t="s">
        <v>88</v>
      </c>
      <c r="H33" t="s">
        <v>142</v>
      </c>
    </row>
    <row r="34" spans="1:8" x14ac:dyDescent="0.3">
      <c r="A34" t="s">
        <v>89</v>
      </c>
      <c r="B34" t="s">
        <v>92</v>
      </c>
      <c r="C34" t="s">
        <v>93</v>
      </c>
      <c r="D34" t="s">
        <v>11</v>
      </c>
      <c r="E34" s="24" t="s">
        <v>130</v>
      </c>
      <c r="F34">
        <f t="shared" si="0"/>
        <v>5</v>
      </c>
      <c r="G34" t="s">
        <v>13</v>
      </c>
      <c r="H34" t="s">
        <v>94</v>
      </c>
    </row>
    <row r="35" spans="1:8" x14ac:dyDescent="0.3">
      <c r="A35" t="s">
        <v>89</v>
      </c>
      <c r="B35" t="s">
        <v>138</v>
      </c>
      <c r="C35" t="s">
        <v>139</v>
      </c>
      <c r="D35" t="s">
        <v>11</v>
      </c>
      <c r="E35" s="24" t="s">
        <v>130</v>
      </c>
      <c r="F35">
        <f t="shared" si="0"/>
        <v>5</v>
      </c>
      <c r="G35" t="s">
        <v>13</v>
      </c>
    </row>
    <row r="36" spans="1:8" x14ac:dyDescent="0.3">
      <c r="A36" t="s">
        <v>89</v>
      </c>
      <c r="B36" t="s">
        <v>95</v>
      </c>
      <c r="C36" t="s">
        <v>96</v>
      </c>
      <c r="D36" t="s">
        <v>69</v>
      </c>
      <c r="E36" s="24" t="s">
        <v>130</v>
      </c>
      <c r="F36">
        <f t="shared" si="0"/>
        <v>2</v>
      </c>
      <c r="G36" t="s">
        <v>13</v>
      </c>
      <c r="H36" t="s">
        <v>97</v>
      </c>
    </row>
    <row r="37" spans="1:8" x14ac:dyDescent="0.3">
      <c r="A37" t="s">
        <v>89</v>
      </c>
      <c r="B37" t="s">
        <v>98</v>
      </c>
      <c r="C37" t="s">
        <v>99</v>
      </c>
      <c r="D37" t="s">
        <v>26</v>
      </c>
      <c r="E37" s="24" t="s">
        <v>27</v>
      </c>
      <c r="F37">
        <f t="shared" si="0"/>
        <v>12.5</v>
      </c>
      <c r="G37" t="s">
        <v>13</v>
      </c>
      <c r="H37" t="s">
        <v>100</v>
      </c>
    </row>
  </sheetData>
  <autoFilter ref="A1:H33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Guidelines!$A$15:$A$20</xm:f>
          </x14:formula1>
          <xm:sqref>D1:D1048576</xm:sqref>
        </x14:dataValidation>
        <x14:dataValidation type="list" allowBlank="1" showInputMessage="1" showErrorMessage="1">
          <x14:formula1>
            <xm:f>Guidelines!$A$9:$A$12</xm:f>
          </x14:formula1>
          <xm:sqref>E1:E1048576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tabSelected="1" topLeftCell="A9" workbookViewId="0">
      <selection activeCell="F18" sqref="F18"/>
    </sheetView>
  </sheetViews>
  <sheetFormatPr defaultRowHeight="14.4" x14ac:dyDescent="0.3"/>
  <cols>
    <col min="1" max="1" width="30.88671875" style="24" bestFit="1" customWidth="1"/>
    <col min="3" max="3" width="15.5546875" style="24" bestFit="1" customWidth="1"/>
    <col min="4" max="4" width="22.44140625" style="24" bestFit="1" customWidth="1"/>
  </cols>
  <sheetData>
    <row r="1" spans="1:4" x14ac:dyDescent="0.3">
      <c r="A1" s="1" t="s">
        <v>101</v>
      </c>
    </row>
    <row r="2" spans="1:4" x14ac:dyDescent="0.3">
      <c r="A2" s="3" t="s">
        <v>102</v>
      </c>
      <c r="B2" s="4">
        <f>SUM(Features!F2:F179)</f>
        <v>126.65</v>
      </c>
      <c r="C2" t="s">
        <v>103</v>
      </c>
    </row>
    <row r="3" spans="1:4" x14ac:dyDescent="0.3">
      <c r="A3" s="5" t="s">
        <v>104</v>
      </c>
      <c r="B3" s="6">
        <v>2</v>
      </c>
      <c r="C3" t="s">
        <v>105</v>
      </c>
    </row>
    <row r="4" spans="1:4" x14ac:dyDescent="0.3">
      <c r="A4" s="5" t="s">
        <v>106</v>
      </c>
      <c r="B4" s="6">
        <v>0.5</v>
      </c>
      <c r="C4" t="s">
        <v>107</v>
      </c>
    </row>
    <row r="5" spans="1:4" x14ac:dyDescent="0.3">
      <c r="A5" s="5" t="s">
        <v>108</v>
      </c>
      <c r="B5" s="6">
        <v>1</v>
      </c>
      <c r="C5" t="s">
        <v>107</v>
      </c>
    </row>
    <row r="6" spans="1:4" x14ac:dyDescent="0.3">
      <c r="A6" s="5" t="s">
        <v>109</v>
      </c>
      <c r="B6" s="6">
        <v>1</v>
      </c>
      <c r="C6" t="s">
        <v>107</v>
      </c>
    </row>
    <row r="7" spans="1:4" x14ac:dyDescent="0.3">
      <c r="A7" s="5" t="s">
        <v>110</v>
      </c>
      <c r="B7" s="6">
        <v>0.5</v>
      </c>
      <c r="C7" t="s">
        <v>107</v>
      </c>
    </row>
    <row r="8" spans="1:4" x14ac:dyDescent="0.3">
      <c r="A8" s="5" t="s">
        <v>111</v>
      </c>
      <c r="B8" s="6">
        <v>0.5</v>
      </c>
      <c r="C8" t="s">
        <v>107</v>
      </c>
    </row>
    <row r="9" spans="1:4" x14ac:dyDescent="0.3">
      <c r="A9" s="7" t="s">
        <v>112</v>
      </c>
      <c r="B9" s="8">
        <f>((B2/B3)/10)+B4+B5+B6+B7+B8</f>
        <v>9.8324999999999996</v>
      </c>
      <c r="C9" t="s">
        <v>113</v>
      </c>
      <c r="D9" t="s">
        <v>114</v>
      </c>
    </row>
    <row r="12" spans="1:4" ht="15" customHeight="1" thickBot="1" x14ac:dyDescent="0.35">
      <c r="A12" s="1" t="s">
        <v>115</v>
      </c>
    </row>
    <row r="13" spans="1:4" ht="16.2" customHeight="1" thickBot="1" x14ac:dyDescent="0.35">
      <c r="A13" s="9" t="s">
        <v>116</v>
      </c>
      <c r="B13" s="10" t="s">
        <v>117</v>
      </c>
      <c r="C13" s="10" t="s">
        <v>118</v>
      </c>
      <c r="D13" s="11" t="s">
        <v>7</v>
      </c>
    </row>
    <row r="14" spans="1:4" ht="15.6" customHeight="1" x14ac:dyDescent="0.3">
      <c r="A14" s="12" t="s">
        <v>143</v>
      </c>
      <c r="B14" s="13">
        <v>1</v>
      </c>
      <c r="C14" s="13">
        <v>98</v>
      </c>
      <c r="D14" s="14"/>
    </row>
    <row r="15" spans="1:4" ht="15.6" customHeight="1" x14ac:dyDescent="0.3">
      <c r="A15" s="15" t="s">
        <v>144</v>
      </c>
      <c r="B15" s="13">
        <v>1</v>
      </c>
      <c r="C15" s="13">
        <v>98</v>
      </c>
      <c r="D15" s="14"/>
    </row>
    <row r="16" spans="1:4" ht="15.6" customHeight="1" x14ac:dyDescent="0.3">
      <c r="A16" s="15" t="s">
        <v>119</v>
      </c>
      <c r="B16" s="16">
        <v>1</v>
      </c>
      <c r="C16" s="13">
        <v>50</v>
      </c>
      <c r="D16" s="17"/>
    </row>
    <row r="17" spans="1:4" ht="15.6" customHeight="1" x14ac:dyDescent="0.3">
      <c r="A17" s="15" t="s">
        <v>120</v>
      </c>
      <c r="B17" s="16">
        <v>1</v>
      </c>
      <c r="C17" s="13">
        <v>35</v>
      </c>
      <c r="D17" s="17"/>
    </row>
    <row r="18" spans="1:4" ht="15.6" customHeight="1" x14ac:dyDescent="0.3">
      <c r="A18" s="18" t="s">
        <v>121</v>
      </c>
      <c r="B18" s="16">
        <v>1</v>
      </c>
      <c r="C18" s="13">
        <v>50</v>
      </c>
      <c r="D18" s="17"/>
    </row>
    <row r="19" spans="1:4" ht="15.6" customHeight="1" x14ac:dyDescent="0.3">
      <c r="A19" s="18" t="s">
        <v>122</v>
      </c>
      <c r="B19" s="16">
        <v>1</v>
      </c>
      <c r="C19" s="13">
        <v>50</v>
      </c>
      <c r="D19" s="17"/>
    </row>
    <row r="20" spans="1:4" ht="15.6" customHeight="1" x14ac:dyDescent="0.3">
      <c r="A20" s="19"/>
      <c r="B20" s="20"/>
      <c r="C20" s="20"/>
      <c r="D20" s="17"/>
    </row>
    <row r="21" spans="1:4" ht="15.6" customHeight="1" x14ac:dyDescent="0.3">
      <c r="A21" s="19"/>
      <c r="B21" s="20"/>
      <c r="C21" s="20"/>
      <c r="D21" s="17"/>
    </row>
    <row r="22" spans="1:4" ht="16.2" customHeight="1" thickBot="1" x14ac:dyDescent="0.35">
      <c r="A22" s="21"/>
      <c r="B22" s="22"/>
      <c r="C22" s="22"/>
      <c r="D22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B16" sqref="B16"/>
    </sheetView>
  </sheetViews>
  <sheetFormatPr defaultRowHeight="14.4" x14ac:dyDescent="0.3"/>
  <cols>
    <col min="1" max="1" width="12.77734375" style="24" bestFit="1" customWidth="1"/>
    <col min="2" max="2" width="35.44140625" style="24" bestFit="1" customWidth="1"/>
  </cols>
  <sheetData>
    <row r="1" spans="1:2" s="1" customFormat="1" x14ac:dyDescent="0.3">
      <c r="A1" s="1" t="s">
        <v>6</v>
      </c>
      <c r="B1" s="1" t="s">
        <v>123</v>
      </c>
    </row>
    <row r="2" spans="1:2" x14ac:dyDescent="0.3">
      <c r="A2" t="s">
        <v>13</v>
      </c>
      <c r="B2" t="s">
        <v>124</v>
      </c>
    </row>
    <row r="3" spans="1:2" x14ac:dyDescent="0.3">
      <c r="A3" t="s">
        <v>88</v>
      </c>
      <c r="B3" t="s">
        <v>125</v>
      </c>
    </row>
    <row r="4" spans="1:2" x14ac:dyDescent="0.3">
      <c r="A4" t="s">
        <v>126</v>
      </c>
      <c r="B4" t="s">
        <v>127</v>
      </c>
    </row>
    <row r="5" spans="1:2" x14ac:dyDescent="0.3">
      <c r="A5" t="s">
        <v>128</v>
      </c>
      <c r="B5" t="s">
        <v>129</v>
      </c>
    </row>
    <row r="8" spans="1:2" s="1" customFormat="1" x14ac:dyDescent="0.3">
      <c r="A8" s="1" t="s">
        <v>4</v>
      </c>
      <c r="B8" s="1" t="s">
        <v>123</v>
      </c>
    </row>
    <row r="9" spans="1:2" x14ac:dyDescent="0.3">
      <c r="A9" t="s">
        <v>130</v>
      </c>
      <c r="B9" t="s">
        <v>131</v>
      </c>
    </row>
    <row r="10" spans="1:2" x14ac:dyDescent="0.3">
      <c r="A10" t="s">
        <v>12</v>
      </c>
      <c r="B10" t="s">
        <v>132</v>
      </c>
    </row>
    <row r="11" spans="1:2" x14ac:dyDescent="0.3">
      <c r="A11" t="s">
        <v>27</v>
      </c>
      <c r="B11" t="s">
        <v>133</v>
      </c>
    </row>
    <row r="12" spans="1:2" x14ac:dyDescent="0.3">
      <c r="A12" t="s">
        <v>17</v>
      </c>
      <c r="B12" t="s">
        <v>134</v>
      </c>
    </row>
    <row r="14" spans="1:2" s="1" customFormat="1" x14ac:dyDescent="0.3">
      <c r="A14" s="1" t="s">
        <v>135</v>
      </c>
      <c r="B14" s="1" t="s">
        <v>123</v>
      </c>
    </row>
    <row r="15" spans="1:2" s="1" customFormat="1" x14ac:dyDescent="0.3">
      <c r="A15" s="25" t="s">
        <v>136</v>
      </c>
      <c r="B15" t="s">
        <v>137</v>
      </c>
    </row>
    <row r="16" spans="1:2" x14ac:dyDescent="0.3">
      <c r="A16" t="s">
        <v>69</v>
      </c>
    </row>
    <row r="17" spans="1:1" x14ac:dyDescent="0.3">
      <c r="A17" t="s">
        <v>11</v>
      </c>
    </row>
    <row r="18" spans="1:1" x14ac:dyDescent="0.3">
      <c r="A18" t="s">
        <v>26</v>
      </c>
    </row>
    <row r="19" spans="1:1" x14ac:dyDescent="0.3">
      <c r="A19" t="s">
        <v>22</v>
      </c>
    </row>
    <row r="20" spans="1:1" x14ac:dyDescent="0.3">
      <c r="A20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Features</vt:lpstr>
      <vt:lpstr>Estimate Summary</vt:lpstr>
      <vt:lpstr>Guidelines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Talaat</cp:lastModifiedBy>
  <dcterms:created xsi:type="dcterms:W3CDTF">2015-06-05T18:17:20Z</dcterms:created>
  <dcterms:modified xsi:type="dcterms:W3CDTF">2026-01-27T14:20:09Z</dcterms:modified>
</cp:coreProperties>
</file>