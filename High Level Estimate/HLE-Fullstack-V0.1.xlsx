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Features" sheetId="1" r:id="rId1"/>
    <sheet name="Estimate Summary" sheetId="2" r:id="rId2"/>
    <sheet name="Guidelines" sheetId="3" r:id="rId3"/>
  </sheets>
  <definedNames>
    <definedName name="_xlnm._FilterDatabase" localSheetId="0" hidden="1">Features!$A$1:$H$37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4" i="1"/>
  <c r="F15" i="1"/>
  <c r="F16" i="1"/>
  <c r="F17" i="1"/>
  <c r="F18" i="1"/>
  <c r="F19" i="1"/>
  <c r="F20" i="1"/>
  <c r="F21" i="1"/>
  <c r="F22" i="1"/>
  <c r="F23" i="1"/>
  <c r="F24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12" i="1"/>
  <c r="F25" i="1"/>
  <c r="F59" i="1"/>
  <c r="F13" i="1"/>
  <c r="F60" i="1"/>
  <c r="F61" i="1"/>
  <c r="F62" i="1"/>
  <c r="F2" i="1" l="1"/>
  <c r="B2" i="2" s="1"/>
  <c r="B9" i="2" s="1"/>
</calcChain>
</file>

<file path=xl/sharedStrings.xml><?xml version="1.0" encoding="utf-8"?>
<sst xmlns="http://schemas.openxmlformats.org/spreadsheetml/2006/main" count="441" uniqueCount="195">
  <si>
    <t>Feature</t>
  </si>
  <si>
    <t>Criteria</t>
  </si>
  <si>
    <t>Estimate</t>
  </si>
  <si>
    <t>Risk</t>
  </si>
  <si>
    <t>Total Time</t>
  </si>
  <si>
    <t>Priority</t>
  </si>
  <si>
    <t>Notes</t>
  </si>
  <si>
    <t>Module</t>
  </si>
  <si>
    <t>Description</t>
  </si>
  <si>
    <t>Must</t>
  </si>
  <si>
    <t>Should</t>
  </si>
  <si>
    <t>Could</t>
  </si>
  <si>
    <t>Would</t>
  </si>
  <si>
    <t>Will be included in MVP</t>
  </si>
  <si>
    <t>Could be in the next phase</t>
  </si>
  <si>
    <t xml:space="preserve">Features which enhanceming the product </t>
  </si>
  <si>
    <t>Nice To Have</t>
  </si>
  <si>
    <t>No Risk (1)</t>
  </si>
  <si>
    <t>Medium (1.25)</t>
  </si>
  <si>
    <t>Low (1.1)</t>
  </si>
  <si>
    <t>High (1.5)</t>
  </si>
  <si>
    <t>Size</t>
  </si>
  <si>
    <t>XS (2)</t>
  </si>
  <si>
    <t>S (5)</t>
  </si>
  <si>
    <t>M (10)</t>
  </si>
  <si>
    <t>L (17)</t>
  </si>
  <si>
    <t>XL (32)</t>
  </si>
  <si>
    <t>Stabilization Sprints</t>
  </si>
  <si>
    <t>Expected sprints</t>
  </si>
  <si>
    <t>Number of Dev members</t>
  </si>
  <si>
    <t xml:space="preserve">Release planning </t>
  </si>
  <si>
    <t>Sprint Zero</t>
  </si>
  <si>
    <t xml:space="preserve">Deployment </t>
  </si>
  <si>
    <t xml:space="preserve">Fixing Security Risks </t>
  </si>
  <si>
    <t xml:space="preserve">Role </t>
  </si>
  <si>
    <t xml:space="preserve">Count </t>
  </si>
  <si>
    <t>Senior QC engineer</t>
  </si>
  <si>
    <t>Product Owner</t>
  </si>
  <si>
    <t>Scrum Master</t>
  </si>
  <si>
    <t>Project Resources</t>
  </si>
  <si>
    <t>UIUX designer</t>
  </si>
  <si>
    <t>Team Efforts</t>
  </si>
  <si>
    <t>Development Effort</t>
  </si>
  <si>
    <t>Days</t>
  </si>
  <si>
    <t>#</t>
  </si>
  <si>
    <t>10 working days per sprint</t>
  </si>
  <si>
    <t>Developers</t>
  </si>
  <si>
    <t>Sprints</t>
  </si>
  <si>
    <t>The task is standard, previously done before, fully understood, and with stable requirements. No integrations, no dependencies, and no expected surprises. Fully predictable execution.</t>
  </si>
  <si>
    <t>Minor uncertainty exists. The task includes slight variations from previous work, small UI/UX changes, or simple API interactions. Requirements are mostly clear with minimal change expected. Low dependency on other teams.</t>
  </si>
  <si>
    <t>Moderate complexity or uncertainty. The task involves new data mapping, multi-step workflow, or integration with partially documented services. Requirements may need clarification. There are dependencies with multiple stakeholders or teams.</t>
  </si>
  <si>
    <t>High complexity or uncertainty. The task involves new technology, advanced integrations, multi-module impact, compliance/security constraints, or unclear/volatile requirements. High probability of changes, unknowns, or delays.</t>
  </si>
  <si>
    <t>excluded or already exist</t>
  </si>
  <si>
    <t>0 (0)</t>
  </si>
  <si>
    <t>UI developer</t>
  </si>
  <si>
    <t>Duration (days)</t>
  </si>
  <si>
    <t>Admin Portal</t>
  </si>
  <si>
    <t>Driver</t>
  </si>
  <si>
    <t>Identity &amp; Compliance</t>
  </si>
  <si>
    <t>Notifications</t>
  </si>
  <si>
    <t>Operational / Platform</t>
  </si>
  <si>
    <t>Operations / NFR</t>
  </si>
  <si>
    <t>Payments</t>
  </si>
  <si>
    <t>Platform / Shared</t>
  </si>
  <si>
    <t>Rider</t>
  </si>
  <si>
    <t>Rider/Driver</t>
  </si>
  <si>
    <t>Integrations</t>
  </si>
  <si>
    <t>Cancellation Review</t>
  </si>
  <si>
    <t>Driver Administrative Approval (Activation Gate)</t>
  </si>
  <si>
    <t>Driver Document Review</t>
  </si>
  <si>
    <t>Manage Drivers</t>
  </si>
  <si>
    <t>Manage Riders</t>
  </si>
  <si>
    <t>Operational Reports</t>
  </si>
  <si>
    <t>Pricing Configuration</t>
  </si>
  <si>
    <t>View Active Rides</t>
  </si>
  <si>
    <t>View Completed Rides</t>
  </si>
  <si>
    <t>Accept / Reject Ride</t>
  </si>
  <si>
    <t>Administrative Approval Before Activation</t>
  </si>
  <si>
    <t>Availability Management (Online/Offline)</t>
  </si>
  <si>
    <t>Complete Trip</t>
  </si>
  <si>
    <t>Driver Document Review Workflow</t>
  </si>
  <si>
    <t>Driver Document Submission</t>
  </si>
  <si>
    <t>Driver Trip History &amp; Earnings Summary</t>
  </si>
  <si>
    <t>Earnings View</t>
  </si>
  <si>
    <t>Go Online / Offline</t>
  </si>
  <si>
    <t>Receive Ride Request</t>
  </si>
  <si>
    <t>Start Trip</t>
  </si>
  <si>
    <t>Child Ride Flag</t>
  </si>
  <si>
    <t>Driver ID Verification</t>
  </si>
  <si>
    <t>Rider ID Verification</t>
  </si>
  <si>
    <t>Verification Status Tracking</t>
  </si>
  <si>
    <t>Women-only Enforcement</t>
  </si>
  <si>
    <t>Notification Logs</t>
  </si>
  <si>
    <t>Push Notifications</t>
  </si>
  <si>
    <t>SMS Notifications</t>
  </si>
  <si>
    <t>Centralized Logging &amp; Tracing</t>
  </si>
  <si>
    <t>Health Checks &amp; Readiness Probes</t>
  </si>
  <si>
    <t>Cancellation Fee Calculation</t>
  </si>
  <si>
    <t>Initiate Payment</t>
  </si>
  <si>
    <t>Payment Failure Handling</t>
  </si>
  <si>
    <t>Payment Success Handling</t>
  </si>
  <si>
    <t>View Payment History</t>
  </si>
  <si>
    <t>Audit Logging</t>
  </si>
  <si>
    <t>Edit User Profile</t>
  </si>
  <si>
    <t>Localization Framework</t>
  </si>
  <si>
    <t>OTP Resend &amp; Expiry Handling</t>
  </si>
  <si>
    <t>User Login</t>
  </si>
  <si>
    <t>User Logout</t>
  </si>
  <si>
    <t>User Registration (OTP)</t>
  </si>
  <si>
    <t>View User Profile</t>
  </si>
  <si>
    <t>Cancel Ride</t>
  </si>
  <si>
    <t>Rate Trip</t>
  </si>
  <si>
    <t>Real-time Trip Status &amp; Tracking</t>
  </si>
  <si>
    <t>Request Ride</t>
  </si>
  <si>
    <t>Ride Status Updates</t>
  </si>
  <si>
    <t>Track Driver Location</t>
  </si>
  <si>
    <t>Trip Completion Screen</t>
  </si>
  <si>
    <t>Trip History</t>
  </si>
  <si>
    <t>View Fare Estimate</t>
  </si>
  <si>
    <t>In-app Text Communication (Chat)</t>
  </si>
  <si>
    <t>Payment Provider Integration (PSP)</t>
  </si>
  <si>
    <t>Notification Provider Integration (SMS, Email, Push)</t>
  </si>
  <si>
    <t>Maps &amp; Geolocation Integration (Google Maps)</t>
  </si>
  <si>
    <t>Admin authentication.</t>
  </si>
  <si>
    <t>Review ride cancellations.</t>
  </si>
  <si>
    <t>Approve/reject driver onboarding and activate account; enforce gate so driver cannot go online before approval.</t>
  </si>
  <si>
    <t>Admin reviews submitted driver documents, views images/PDFs, marks valid/invalid, requests resubmission with reason.</t>
  </si>
  <si>
    <t>Approve/reject drivers.</t>
  </si>
  <si>
    <t>View/suspend/block riders.</t>
  </si>
  <si>
    <t>Basic operational reports (non-BI).</t>
  </si>
  <si>
    <t>Configure pricing rules.</t>
  </si>
  <si>
    <t>Monitor active rides.</t>
  </si>
  <si>
    <t>Search completed rides.</t>
  </si>
  <si>
    <t>Accept or decline assigned ride.</t>
  </si>
  <si>
    <t>Admin approval gate before driver can go online and accept rides.</t>
  </si>
  <si>
    <t>Driver availability toggle and enforcement in dispatch logic.</t>
  </si>
  <si>
    <t>Mark trip as completed.</t>
  </si>
  <si>
    <t>Backend workflow to support admin review and status updates of driver documents.</t>
  </si>
  <si>
    <t>Upload required driver documents during onboarding.</t>
  </si>
  <si>
    <t>View completed trips and basic earnings breakdown.</t>
  </si>
  <si>
    <t>View earnings per trip.</t>
  </si>
  <si>
    <t>Set availability status.</t>
  </si>
  <si>
    <t>Receive incoming ride notifications.</t>
  </si>
  <si>
    <t>Start trip after pickup.</t>
  </si>
  <si>
    <t>Capture and enforce child (&lt;12) indicator.</t>
  </si>
  <si>
    <t>National ID + selfie + document upload for drivers.</t>
  </si>
  <si>
    <t>National ID + selfie + age validation for riders.</t>
  </si>
  <si>
    <t>Pending/Approved/Rejected flows.</t>
  </si>
  <si>
    <t>Prevent non-eligible users from rides.</t>
  </si>
  <si>
    <t>Store and view sent notifications.</t>
  </si>
  <si>
    <t>Push notifications for ride events.</t>
  </si>
  <si>
    <t>SMS for OTP and safety alerts.</t>
  </si>
  <si>
    <t>Application-level logs, correlation IDs, request tracing across services.</t>
  </si>
  <si>
    <t>Implement service health endpoints, dependency checks (DB/PSP/SMS/Maps), and readiness indicators for deployment.</t>
  </si>
  <si>
    <t>Apply cancellation fees.</t>
  </si>
  <si>
    <t>Trigger payment after trip completion.</t>
  </si>
  <si>
    <t>Handle failed payments and retry logic.</t>
  </si>
  <si>
    <t>Handle successful payments.</t>
  </si>
  <si>
    <t>Admin/user view of payments.</t>
  </si>
  <si>
    <t>Audit logs for critical actions.</t>
  </si>
  <si>
    <t>Edit basic profile info (name, preferences).</t>
  </si>
  <si>
    <t>Arabic/English UI support and switching.</t>
  </si>
  <si>
    <t>Handle OTP expiration, resend limits, and retries.</t>
  </si>
  <si>
    <t>Authenticate user using OTP; session creation.</t>
  </si>
  <si>
    <t>Terminate user session securely.</t>
  </si>
  <si>
    <t>Register user using mobile number with OTP validation.</t>
  </si>
  <si>
    <t>View personal profile details.</t>
  </si>
  <si>
    <t>Cancel ride with reason selection.</t>
  </si>
  <si>
    <t>Submit rating and feedback.</t>
  </si>
  <si>
    <t>Live ride status updates and real-time trip tracking for rider during active trip.</t>
  </si>
  <si>
    <t>Create ride request with pickup/destination.</t>
  </si>
  <si>
    <t>Real-time ride status updates across lifecycle (assigned/arrived/started/completed/cancelled) including UI state handling.</t>
  </si>
  <si>
    <t>Real-time driver tracking.</t>
  </si>
  <si>
    <t>Show trip summary after completion.</t>
  </si>
  <si>
    <t>View list of past trips.</t>
  </si>
  <si>
    <t>Display estimated fare and ETA.</t>
  </si>
  <si>
    <t>In-app text messaging between rider and assigned driver during active ride only; block PII sharing; message history for ride duration.</t>
  </si>
  <si>
    <t>View incident logs.</t>
  </si>
  <si>
    <t>Driver-triggered SOS.</t>
  </si>
  <si>
    <t>Trigger SOS during trip.</t>
  </si>
  <si>
    <t>Track and resolve SOS incidents.</t>
  </si>
  <si>
    <t>Integrate external payment provider: initiate payment, handle callbacks/webhooks, status mapping, sandbox/prod config, error handling.</t>
  </si>
  <si>
    <t>Integrate notification distributors for SMS, Email, and Push; template mapping, retries, failure handling, environment separation.</t>
  </si>
  <si>
    <t>Integrate Google Maps for geocoding, routing, distance &amp; ETA calculation, live tracking, quotas, and API key management.</t>
  </si>
  <si>
    <t>Admin Login &amp;Logout</t>
  </si>
  <si>
    <t>Google as SSO</t>
  </si>
  <si>
    <t>Integrate with Google SSO</t>
  </si>
  <si>
    <t>Identity Verification Provider? Date of Birth ? OCR for front ? Admin approval gate</t>
  </si>
  <si>
    <t>Safety - SOS Button (Driver)</t>
  </si>
  <si>
    <t>Safety- SOS Case Management</t>
  </si>
  <si>
    <t>Safety- Incident History</t>
  </si>
  <si>
    <t>Safety-SOS Button (Rider)</t>
  </si>
  <si>
    <t xml:space="preserve">Fullstack Team Lead </t>
  </si>
  <si>
    <t xml:space="preserve">Fullstack Senior Developer </t>
  </si>
  <si>
    <t>Fullstack Junior 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</si>
</sst>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0" fillId="0" borderId="2" xfId="0" applyFont="1" applyBorder="1"/>
    <xf numFmtId="0" fontId="0" fillId="0" borderId="3" xfId="0" applyBorder="1"/>
    <xf numFmtId="0" fontId="0" fillId="0" borderId="4" xfId="0" applyFont="1" applyBorder="1"/>
    <xf numFmtId="0" fontId="0" fillId="0" borderId="5" xfId="0" applyBorder="1"/>
    <xf numFmtId="0" fontId="0" fillId="0" borderId="6" xfId="0" applyFont="1" applyBorder="1"/>
    <xf numFmtId="0" fontId="0" fillId="0" borderId="7" xfId="0" applyBorder="1"/>
    <xf numFmtId="0" fontId="3" fillId="0" borderId="8" xfId="1" applyFont="1" applyBorder="1"/>
    <xf numFmtId="0" fontId="3" fillId="0" borderId="9" xfId="1" applyFont="1" applyBorder="1"/>
    <xf numFmtId="0" fontId="3" fillId="0" borderId="10" xfId="1" applyFont="1" applyBorder="1"/>
    <xf numFmtId="0" fontId="4" fillId="0" borderId="11" xfId="0" applyFont="1" applyBorder="1"/>
    <xf numFmtId="0" fontId="4" fillId="0" borderId="12" xfId="2" applyFont="1" applyBorder="1"/>
    <xf numFmtId="0" fontId="4" fillId="0" borderId="13" xfId="1" applyFont="1" applyBorder="1"/>
    <xf numFmtId="0" fontId="4" fillId="0" borderId="14" xfId="0" applyFont="1" applyBorder="1"/>
    <xf numFmtId="0" fontId="4" fillId="0" borderId="15" xfId="2" applyFont="1" applyBorder="1"/>
    <xf numFmtId="0" fontId="4" fillId="0" borderId="16" xfId="1" applyFont="1" applyBorder="1"/>
    <xf numFmtId="0" fontId="4" fillId="0" borderId="14" xfId="2" applyFont="1" applyBorder="1"/>
    <xf numFmtId="0" fontId="4" fillId="0" borderId="14" xfId="1" applyFont="1" applyBorder="1"/>
    <xf numFmtId="0" fontId="4" fillId="0" borderId="15" xfId="1" applyFont="1" applyBorder="1"/>
    <xf numFmtId="0" fontId="4" fillId="0" borderId="17" xfId="1" applyFont="1" applyBorder="1"/>
    <xf numFmtId="0" fontId="4" fillId="0" borderId="18" xfId="1" applyFont="1" applyBorder="1"/>
    <xf numFmtId="0" fontId="4" fillId="0" borderId="19" xfId="1" applyFont="1" applyBorder="1"/>
    <xf numFmtId="0" fontId="0" fillId="0" borderId="0" xfId="0" applyFont="1"/>
    <xf numFmtId="0" fontId="0" fillId="0" borderId="0" xfId="0" applyFont="1" applyAlignment="1">
      <alignment horizontal="left"/>
    </xf>
    <xf numFmtId="0" fontId="0" fillId="2" borderId="0" xfId="0" applyFill="1"/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topLeftCell="A9" workbookViewId="0">
      <selection activeCell="A26" sqref="A26"/>
    </sheetView>
  </sheetViews>
  <sheetFormatPr defaultRowHeight="14.4" x14ac:dyDescent="0.3"/>
  <cols>
    <col min="1" max="1" width="19.6640625" bestFit="1" customWidth="1"/>
    <col min="2" max="2" width="43.33203125" bestFit="1" customWidth="1"/>
    <col min="3" max="3" width="114.109375" bestFit="1" customWidth="1"/>
    <col min="4" max="4" width="10.44140625" bestFit="1" customWidth="1"/>
    <col min="5" max="5" width="12.77734375" bestFit="1" customWidth="1"/>
    <col min="6" max="6" width="12" bestFit="1" customWidth="1"/>
    <col min="7" max="7" width="7.109375" bestFit="1" customWidth="1"/>
  </cols>
  <sheetData>
    <row r="1" spans="1:8" s="1" customFormat="1" x14ac:dyDescent="0.3">
      <c r="A1" s="2" t="s">
        <v>7</v>
      </c>
      <c r="B1" s="2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t="s">
        <v>56</v>
      </c>
      <c r="B2" t="s">
        <v>184</v>
      </c>
      <c r="C2" t="s">
        <v>123</v>
      </c>
      <c r="D2" t="s">
        <v>22</v>
      </c>
      <c r="E2" t="s">
        <v>17</v>
      </c>
      <c r="F2">
        <f>VALUE(MID(D2, FIND("(", D2)+1, FIND(")", D2)-FIND("(", D2)-1)) * VALUE(MID(E2, FIND("(", E2)+1, FIND(")", E2)-FIND("(", E2)-1))</f>
        <v>2</v>
      </c>
      <c r="G2" t="s">
        <v>9</v>
      </c>
    </row>
    <row r="3" spans="1:8" x14ac:dyDescent="0.3">
      <c r="A3" t="s">
        <v>56</v>
      </c>
      <c r="B3" t="s">
        <v>67</v>
      </c>
      <c r="C3" t="s">
        <v>124</v>
      </c>
      <c r="D3" t="s">
        <v>22</v>
      </c>
      <c r="E3" t="s">
        <v>17</v>
      </c>
      <c r="F3">
        <f t="shared" ref="F3:F59" si="0">VALUE(MID(D3, FIND("(", D3)+1, FIND(")", D3)-FIND("(", D3)-1)) * VALUE(MID(E3, FIND("(", E3)+1, FIND(")", E3)-FIND("(", E3)-1))</f>
        <v>2</v>
      </c>
      <c r="G3" t="s">
        <v>9</v>
      </c>
    </row>
    <row r="4" spans="1:8" x14ac:dyDescent="0.3">
      <c r="A4" t="s">
        <v>56</v>
      </c>
      <c r="B4" t="s">
        <v>68</v>
      </c>
      <c r="C4" t="s">
        <v>125</v>
      </c>
      <c r="D4" t="s">
        <v>23</v>
      </c>
      <c r="E4" t="s">
        <v>17</v>
      </c>
      <c r="F4">
        <f t="shared" si="0"/>
        <v>5</v>
      </c>
      <c r="G4" t="s">
        <v>9</v>
      </c>
    </row>
    <row r="5" spans="1:8" x14ac:dyDescent="0.3">
      <c r="A5" t="s">
        <v>56</v>
      </c>
      <c r="B5" t="s">
        <v>69</v>
      </c>
      <c r="C5" t="s">
        <v>126</v>
      </c>
      <c r="D5" t="s">
        <v>23</v>
      </c>
      <c r="E5" t="s">
        <v>19</v>
      </c>
      <c r="F5">
        <f t="shared" si="0"/>
        <v>5.5</v>
      </c>
      <c r="G5" t="s">
        <v>9</v>
      </c>
    </row>
    <row r="6" spans="1:8" x14ac:dyDescent="0.3">
      <c r="A6" t="s">
        <v>56</v>
      </c>
      <c r="B6" t="s">
        <v>70</v>
      </c>
      <c r="C6" t="s">
        <v>127</v>
      </c>
      <c r="D6" t="s">
        <v>22</v>
      </c>
      <c r="E6" t="s">
        <v>17</v>
      </c>
      <c r="F6">
        <f t="shared" si="0"/>
        <v>2</v>
      </c>
      <c r="G6" t="s">
        <v>9</v>
      </c>
    </row>
    <row r="7" spans="1:8" x14ac:dyDescent="0.3">
      <c r="A7" t="s">
        <v>56</v>
      </c>
      <c r="B7" t="s">
        <v>71</v>
      </c>
      <c r="C7" t="s">
        <v>128</v>
      </c>
      <c r="D7" t="s">
        <v>22</v>
      </c>
      <c r="E7" t="s">
        <v>17</v>
      </c>
      <c r="F7">
        <f t="shared" si="0"/>
        <v>2</v>
      </c>
      <c r="G7" t="s">
        <v>9</v>
      </c>
    </row>
    <row r="8" spans="1:8" x14ac:dyDescent="0.3">
      <c r="A8" t="s">
        <v>56</v>
      </c>
      <c r="B8" t="s">
        <v>72</v>
      </c>
      <c r="C8" t="s">
        <v>129</v>
      </c>
      <c r="D8" t="s">
        <v>24</v>
      </c>
      <c r="E8" t="s">
        <v>17</v>
      </c>
      <c r="F8">
        <f t="shared" si="0"/>
        <v>10</v>
      </c>
      <c r="G8" t="s">
        <v>9</v>
      </c>
    </row>
    <row r="9" spans="1:8" x14ac:dyDescent="0.3">
      <c r="A9" t="s">
        <v>56</v>
      </c>
      <c r="B9" t="s">
        <v>73</v>
      </c>
      <c r="C9" t="s">
        <v>130</v>
      </c>
      <c r="D9" t="s">
        <v>23</v>
      </c>
      <c r="E9" t="s">
        <v>19</v>
      </c>
      <c r="F9">
        <f t="shared" si="0"/>
        <v>5.5</v>
      </c>
      <c r="G9" t="s">
        <v>9</v>
      </c>
    </row>
    <row r="10" spans="1:8" x14ac:dyDescent="0.3">
      <c r="A10" t="s">
        <v>56</v>
      </c>
      <c r="B10" t="s">
        <v>74</v>
      </c>
      <c r="C10" t="s">
        <v>131</v>
      </c>
      <c r="D10" t="s">
        <v>24</v>
      </c>
      <c r="E10" t="s">
        <v>18</v>
      </c>
      <c r="F10">
        <f t="shared" si="0"/>
        <v>12.5</v>
      </c>
      <c r="G10" t="s">
        <v>9</v>
      </c>
    </row>
    <row r="11" spans="1:8" x14ac:dyDescent="0.3">
      <c r="A11" t="s">
        <v>56</v>
      </c>
      <c r="B11" t="s">
        <v>75</v>
      </c>
      <c r="C11" t="s">
        <v>132</v>
      </c>
      <c r="D11" t="s">
        <v>23</v>
      </c>
      <c r="E11" t="s">
        <v>17</v>
      </c>
      <c r="F11">
        <f t="shared" si="0"/>
        <v>5</v>
      </c>
      <c r="G11" t="s">
        <v>9</v>
      </c>
    </row>
    <row r="12" spans="1:8" x14ac:dyDescent="0.3">
      <c r="A12" t="s">
        <v>56</v>
      </c>
      <c r="B12" t="s">
        <v>190</v>
      </c>
      <c r="C12" t="s">
        <v>177</v>
      </c>
      <c r="D12" t="s">
        <v>23</v>
      </c>
      <c r="E12" t="s">
        <v>17</v>
      </c>
      <c r="F12">
        <f>VALUE(MID(D12, FIND("(", D12)+1, FIND(")", D12)-FIND("(", D12)-1)) * VALUE(MID(E12, FIND("(", E12)+1, FIND(")", E12)-FIND("(", E12)-1))</f>
        <v>5</v>
      </c>
      <c r="G12" t="s">
        <v>9</v>
      </c>
    </row>
    <row r="13" spans="1:8" x14ac:dyDescent="0.3">
      <c r="A13" t="s">
        <v>56</v>
      </c>
      <c r="B13" t="s">
        <v>189</v>
      </c>
      <c r="C13" t="s">
        <v>180</v>
      </c>
      <c r="D13" t="s">
        <v>23</v>
      </c>
      <c r="E13" t="s">
        <v>17</v>
      </c>
      <c r="F13">
        <f>VALUE(MID(D13, FIND("(", D13)+1, FIND(")", D13)-FIND("(", D13)-1)) * VALUE(MID(E13, FIND("(", E13)+1, FIND(")", E13)-FIND("(", E13)-1))</f>
        <v>5</v>
      </c>
      <c r="G13" t="s">
        <v>9</v>
      </c>
    </row>
    <row r="14" spans="1:8" x14ac:dyDescent="0.3">
      <c r="A14" t="s">
        <v>57</v>
      </c>
      <c r="B14" t="s">
        <v>76</v>
      </c>
      <c r="C14" t="s">
        <v>133</v>
      </c>
      <c r="D14" t="s">
        <v>23</v>
      </c>
      <c r="E14" t="s">
        <v>18</v>
      </c>
      <c r="F14">
        <f t="shared" si="0"/>
        <v>6.25</v>
      </c>
      <c r="G14" t="s">
        <v>9</v>
      </c>
    </row>
    <row r="15" spans="1:8" x14ac:dyDescent="0.3">
      <c r="A15" t="s">
        <v>57</v>
      </c>
      <c r="B15" t="s">
        <v>77</v>
      </c>
      <c r="C15" t="s">
        <v>134</v>
      </c>
      <c r="D15" t="s">
        <v>22</v>
      </c>
      <c r="E15" t="s">
        <v>17</v>
      </c>
      <c r="F15">
        <f t="shared" si="0"/>
        <v>2</v>
      </c>
      <c r="G15" t="s">
        <v>9</v>
      </c>
    </row>
    <row r="16" spans="1:8" x14ac:dyDescent="0.3">
      <c r="A16" t="s">
        <v>57</v>
      </c>
      <c r="B16" t="s">
        <v>78</v>
      </c>
      <c r="C16" t="s">
        <v>135</v>
      </c>
      <c r="D16" t="s">
        <v>22</v>
      </c>
      <c r="E16" t="s">
        <v>17</v>
      </c>
      <c r="F16">
        <f t="shared" si="0"/>
        <v>2</v>
      </c>
      <c r="G16" t="s">
        <v>9</v>
      </c>
    </row>
    <row r="17" spans="1:8" x14ac:dyDescent="0.3">
      <c r="A17" t="s">
        <v>57</v>
      </c>
      <c r="B17" t="s">
        <v>79</v>
      </c>
      <c r="C17" t="s">
        <v>136</v>
      </c>
      <c r="D17" t="s">
        <v>22</v>
      </c>
      <c r="E17" t="s">
        <v>17</v>
      </c>
      <c r="F17">
        <f t="shared" si="0"/>
        <v>2</v>
      </c>
      <c r="G17" t="s">
        <v>9</v>
      </c>
    </row>
    <row r="18" spans="1:8" x14ac:dyDescent="0.3">
      <c r="A18" t="s">
        <v>57</v>
      </c>
      <c r="B18" t="s">
        <v>80</v>
      </c>
      <c r="C18" t="s">
        <v>137</v>
      </c>
      <c r="D18" t="s">
        <v>22</v>
      </c>
      <c r="E18" t="s">
        <v>18</v>
      </c>
      <c r="F18">
        <f t="shared" si="0"/>
        <v>2.5</v>
      </c>
      <c r="G18" t="s">
        <v>9</v>
      </c>
    </row>
    <row r="19" spans="1:8" x14ac:dyDescent="0.3">
      <c r="A19" t="s">
        <v>57</v>
      </c>
      <c r="B19" t="s">
        <v>81</v>
      </c>
      <c r="C19" t="s">
        <v>138</v>
      </c>
      <c r="D19" t="s">
        <v>22</v>
      </c>
      <c r="E19" t="s">
        <v>17</v>
      </c>
      <c r="F19">
        <f t="shared" si="0"/>
        <v>2</v>
      </c>
      <c r="G19" t="s">
        <v>9</v>
      </c>
    </row>
    <row r="20" spans="1:8" x14ac:dyDescent="0.3">
      <c r="A20" t="s">
        <v>57</v>
      </c>
      <c r="B20" t="s">
        <v>82</v>
      </c>
      <c r="C20" t="s">
        <v>139</v>
      </c>
      <c r="D20" t="s">
        <v>23</v>
      </c>
      <c r="E20" t="s">
        <v>19</v>
      </c>
      <c r="F20">
        <f t="shared" si="0"/>
        <v>5.5</v>
      </c>
      <c r="G20" t="s">
        <v>9</v>
      </c>
    </row>
    <row r="21" spans="1:8" x14ac:dyDescent="0.3">
      <c r="A21" t="s">
        <v>57</v>
      </c>
      <c r="B21" t="s">
        <v>83</v>
      </c>
      <c r="C21" t="s">
        <v>140</v>
      </c>
      <c r="D21" t="s">
        <v>22</v>
      </c>
      <c r="E21" t="s">
        <v>17</v>
      </c>
      <c r="F21">
        <f t="shared" si="0"/>
        <v>2</v>
      </c>
      <c r="G21" t="s">
        <v>9</v>
      </c>
    </row>
    <row r="22" spans="1:8" x14ac:dyDescent="0.3">
      <c r="A22" t="s">
        <v>57</v>
      </c>
      <c r="B22" t="s">
        <v>84</v>
      </c>
      <c r="C22" t="s">
        <v>141</v>
      </c>
      <c r="D22" t="s">
        <v>22</v>
      </c>
      <c r="E22" t="s">
        <v>17</v>
      </c>
      <c r="F22">
        <f t="shared" si="0"/>
        <v>2</v>
      </c>
      <c r="G22" t="s">
        <v>9</v>
      </c>
    </row>
    <row r="23" spans="1:8" x14ac:dyDescent="0.3">
      <c r="A23" t="s">
        <v>57</v>
      </c>
      <c r="B23" t="s">
        <v>85</v>
      </c>
      <c r="C23" t="s">
        <v>142</v>
      </c>
      <c r="D23" t="s">
        <v>22</v>
      </c>
      <c r="E23" t="s">
        <v>18</v>
      </c>
      <c r="F23">
        <f t="shared" si="0"/>
        <v>2.5</v>
      </c>
      <c r="G23" t="s">
        <v>9</v>
      </c>
    </row>
    <row r="24" spans="1:8" x14ac:dyDescent="0.3">
      <c r="A24" t="s">
        <v>57</v>
      </c>
      <c r="B24" t="s">
        <v>86</v>
      </c>
      <c r="C24" t="s">
        <v>143</v>
      </c>
      <c r="D24" t="s">
        <v>22</v>
      </c>
      <c r="E24" t="s">
        <v>19</v>
      </c>
      <c r="F24">
        <f t="shared" si="0"/>
        <v>2.2000000000000002</v>
      </c>
      <c r="G24" t="s">
        <v>9</v>
      </c>
    </row>
    <row r="25" spans="1:8" x14ac:dyDescent="0.3">
      <c r="A25" t="s">
        <v>57</v>
      </c>
      <c r="B25" t="s">
        <v>188</v>
      </c>
      <c r="C25" t="s">
        <v>178</v>
      </c>
      <c r="D25" t="s">
        <v>22</v>
      </c>
      <c r="E25" t="s">
        <v>17</v>
      </c>
      <c r="F25">
        <f>VALUE(MID(D25, FIND("(", D25)+1, FIND(")", D25)-FIND("(", D25)-1)) * VALUE(MID(E25, FIND("(", E25)+1, FIND(")", E25)-FIND("(", E25)-1))</f>
        <v>2</v>
      </c>
      <c r="G25" t="s">
        <v>9</v>
      </c>
    </row>
    <row r="26" spans="1:8" s="26" customFormat="1" x14ac:dyDescent="0.3">
      <c r="A26" s="26" t="s">
        <v>58</v>
      </c>
      <c r="B26" s="26" t="s">
        <v>87</v>
      </c>
      <c r="C26" s="26" t="s">
        <v>144</v>
      </c>
      <c r="D26" s="26" t="s">
        <v>23</v>
      </c>
      <c r="E26" s="26" t="s">
        <v>19</v>
      </c>
      <c r="F26" s="26">
        <f t="shared" si="0"/>
        <v>5.5</v>
      </c>
      <c r="G26" s="26" t="s">
        <v>9</v>
      </c>
      <c r="H26" s="26" t="s">
        <v>187</v>
      </c>
    </row>
    <row r="27" spans="1:8" x14ac:dyDescent="0.3">
      <c r="A27" t="s">
        <v>58</v>
      </c>
      <c r="B27" t="s">
        <v>88</v>
      </c>
      <c r="C27" t="s">
        <v>145</v>
      </c>
      <c r="D27" t="s">
        <v>23</v>
      </c>
      <c r="E27" t="s">
        <v>18</v>
      </c>
      <c r="F27">
        <f t="shared" si="0"/>
        <v>6.25</v>
      </c>
      <c r="G27" t="s">
        <v>9</v>
      </c>
    </row>
    <row r="28" spans="1:8" x14ac:dyDescent="0.3">
      <c r="A28" t="s">
        <v>58</v>
      </c>
      <c r="B28" t="s">
        <v>89</v>
      </c>
      <c r="C28" t="s">
        <v>146</v>
      </c>
      <c r="D28" t="s">
        <v>22</v>
      </c>
      <c r="E28" t="s">
        <v>19</v>
      </c>
      <c r="F28">
        <f t="shared" si="0"/>
        <v>2.2000000000000002</v>
      </c>
      <c r="G28" t="s">
        <v>9</v>
      </c>
    </row>
    <row r="29" spans="1:8" x14ac:dyDescent="0.3">
      <c r="A29" t="s">
        <v>58</v>
      </c>
      <c r="B29" t="s">
        <v>90</v>
      </c>
      <c r="C29" t="s">
        <v>147</v>
      </c>
      <c r="D29" t="s">
        <v>22</v>
      </c>
      <c r="E29" t="s">
        <v>18</v>
      </c>
      <c r="F29">
        <f t="shared" si="0"/>
        <v>2.5</v>
      </c>
      <c r="G29" t="s">
        <v>9</v>
      </c>
    </row>
    <row r="30" spans="1:8" s="26" customFormat="1" x14ac:dyDescent="0.3">
      <c r="A30" s="26" t="s">
        <v>58</v>
      </c>
      <c r="B30" s="26" t="s">
        <v>91</v>
      </c>
      <c r="C30" s="26" t="s">
        <v>148</v>
      </c>
      <c r="D30" s="26" t="s">
        <v>23</v>
      </c>
      <c r="E30" s="26" t="s">
        <v>19</v>
      </c>
      <c r="F30" s="26">
        <f t="shared" si="0"/>
        <v>5.5</v>
      </c>
      <c r="G30" s="26" t="s">
        <v>9</v>
      </c>
      <c r="H30" s="26" t="s">
        <v>187</v>
      </c>
    </row>
    <row r="31" spans="1:8" x14ac:dyDescent="0.3">
      <c r="A31" t="s">
        <v>59</v>
      </c>
      <c r="B31" t="s">
        <v>92</v>
      </c>
      <c r="C31" t="s">
        <v>149</v>
      </c>
      <c r="D31" t="s">
        <v>23</v>
      </c>
      <c r="E31" t="s">
        <v>17</v>
      </c>
      <c r="F31">
        <f t="shared" si="0"/>
        <v>5</v>
      </c>
      <c r="G31" t="s">
        <v>9</v>
      </c>
    </row>
    <row r="32" spans="1:8" x14ac:dyDescent="0.3">
      <c r="A32" t="s">
        <v>59</v>
      </c>
      <c r="B32" t="s">
        <v>93</v>
      </c>
      <c r="C32" t="s">
        <v>150</v>
      </c>
      <c r="D32" t="s">
        <v>22</v>
      </c>
      <c r="E32" t="s">
        <v>19</v>
      </c>
      <c r="F32">
        <f t="shared" si="0"/>
        <v>2.2000000000000002</v>
      </c>
      <c r="G32" t="s">
        <v>9</v>
      </c>
    </row>
    <row r="33" spans="1:7" x14ac:dyDescent="0.3">
      <c r="A33" t="s">
        <v>59</v>
      </c>
      <c r="B33" t="s">
        <v>94</v>
      </c>
      <c r="C33" t="s">
        <v>151</v>
      </c>
      <c r="D33" t="s">
        <v>22</v>
      </c>
      <c r="E33" t="s">
        <v>18</v>
      </c>
      <c r="F33">
        <f t="shared" si="0"/>
        <v>2.5</v>
      </c>
      <c r="G33" t="s">
        <v>9</v>
      </c>
    </row>
    <row r="34" spans="1:7" x14ac:dyDescent="0.3">
      <c r="A34" t="s">
        <v>60</v>
      </c>
      <c r="B34" t="s">
        <v>95</v>
      </c>
      <c r="C34" t="s">
        <v>152</v>
      </c>
      <c r="D34" t="s">
        <v>24</v>
      </c>
      <c r="E34" t="s">
        <v>17</v>
      </c>
      <c r="F34">
        <f t="shared" si="0"/>
        <v>10</v>
      </c>
      <c r="G34" t="s">
        <v>9</v>
      </c>
    </row>
    <row r="35" spans="1:7" x14ac:dyDescent="0.3">
      <c r="A35" t="s">
        <v>61</v>
      </c>
      <c r="B35" t="s">
        <v>96</v>
      </c>
      <c r="C35" t="s">
        <v>153</v>
      </c>
      <c r="D35" t="s">
        <v>23</v>
      </c>
      <c r="E35" t="s">
        <v>18</v>
      </c>
      <c r="F35">
        <f t="shared" si="0"/>
        <v>6.25</v>
      </c>
      <c r="G35" t="s">
        <v>9</v>
      </c>
    </row>
    <row r="36" spans="1:7" x14ac:dyDescent="0.3">
      <c r="A36" t="s">
        <v>62</v>
      </c>
      <c r="B36" t="s">
        <v>97</v>
      </c>
      <c r="C36" t="s">
        <v>154</v>
      </c>
      <c r="D36" t="s">
        <v>22</v>
      </c>
      <c r="E36" t="s">
        <v>18</v>
      </c>
      <c r="F36">
        <f t="shared" si="0"/>
        <v>2.5</v>
      </c>
      <c r="G36" t="s">
        <v>9</v>
      </c>
    </row>
    <row r="37" spans="1:7" x14ac:dyDescent="0.3">
      <c r="A37" t="s">
        <v>62</v>
      </c>
      <c r="B37" t="s">
        <v>98</v>
      </c>
      <c r="C37" t="s">
        <v>155</v>
      </c>
      <c r="D37" t="s">
        <v>23</v>
      </c>
      <c r="E37" t="s">
        <v>18</v>
      </c>
      <c r="F37">
        <f t="shared" si="0"/>
        <v>6.25</v>
      </c>
      <c r="G37" t="s">
        <v>9</v>
      </c>
    </row>
    <row r="38" spans="1:7" x14ac:dyDescent="0.3">
      <c r="A38" t="s">
        <v>62</v>
      </c>
      <c r="B38" t="s">
        <v>99</v>
      </c>
      <c r="C38" t="s">
        <v>156</v>
      </c>
      <c r="D38" t="s">
        <v>22</v>
      </c>
      <c r="E38" t="s">
        <v>18</v>
      </c>
      <c r="F38">
        <f t="shared" si="0"/>
        <v>2.5</v>
      </c>
      <c r="G38" t="s">
        <v>9</v>
      </c>
    </row>
    <row r="39" spans="1:7" x14ac:dyDescent="0.3">
      <c r="A39" t="s">
        <v>62</v>
      </c>
      <c r="B39" t="s">
        <v>100</v>
      </c>
      <c r="C39" t="s">
        <v>157</v>
      </c>
      <c r="D39" t="s">
        <v>22</v>
      </c>
      <c r="E39" t="s">
        <v>18</v>
      </c>
      <c r="F39">
        <f t="shared" si="0"/>
        <v>2.5</v>
      </c>
      <c r="G39" t="s">
        <v>9</v>
      </c>
    </row>
    <row r="40" spans="1:7" x14ac:dyDescent="0.3">
      <c r="A40" t="s">
        <v>62</v>
      </c>
      <c r="B40" t="s">
        <v>101</v>
      </c>
      <c r="C40" t="s">
        <v>158</v>
      </c>
      <c r="D40" t="s">
        <v>23</v>
      </c>
      <c r="E40" t="s">
        <v>17</v>
      </c>
      <c r="F40">
        <f t="shared" si="0"/>
        <v>5</v>
      </c>
      <c r="G40" t="s">
        <v>9</v>
      </c>
    </row>
    <row r="41" spans="1:7" x14ac:dyDescent="0.3">
      <c r="A41" t="s">
        <v>63</v>
      </c>
      <c r="B41" t="s">
        <v>102</v>
      </c>
      <c r="C41" t="s">
        <v>159</v>
      </c>
      <c r="D41" t="s">
        <v>23</v>
      </c>
      <c r="E41" t="s">
        <v>17</v>
      </c>
      <c r="F41">
        <f t="shared" si="0"/>
        <v>5</v>
      </c>
      <c r="G41" t="s">
        <v>9</v>
      </c>
    </row>
    <row r="42" spans="1:7" x14ac:dyDescent="0.3">
      <c r="A42" t="s">
        <v>63</v>
      </c>
      <c r="B42" t="s">
        <v>103</v>
      </c>
      <c r="C42" t="s">
        <v>160</v>
      </c>
      <c r="D42" t="s">
        <v>22</v>
      </c>
      <c r="E42" t="s">
        <v>17</v>
      </c>
      <c r="F42">
        <f t="shared" si="0"/>
        <v>2</v>
      </c>
      <c r="G42" t="s">
        <v>9</v>
      </c>
    </row>
    <row r="43" spans="1:7" x14ac:dyDescent="0.3">
      <c r="A43" t="s">
        <v>63</v>
      </c>
      <c r="B43" t="s">
        <v>104</v>
      </c>
      <c r="C43" t="s">
        <v>161</v>
      </c>
      <c r="D43" t="s">
        <v>23</v>
      </c>
      <c r="E43" t="s">
        <v>19</v>
      </c>
      <c r="F43">
        <f t="shared" si="0"/>
        <v>5.5</v>
      </c>
      <c r="G43" t="s">
        <v>9</v>
      </c>
    </row>
    <row r="44" spans="1:7" x14ac:dyDescent="0.3">
      <c r="A44" t="s">
        <v>63</v>
      </c>
      <c r="B44" t="s">
        <v>105</v>
      </c>
      <c r="C44" t="s">
        <v>162</v>
      </c>
      <c r="D44" t="s">
        <v>22</v>
      </c>
      <c r="E44" t="s">
        <v>19</v>
      </c>
      <c r="F44">
        <f t="shared" si="0"/>
        <v>2.2000000000000002</v>
      </c>
      <c r="G44" t="s">
        <v>9</v>
      </c>
    </row>
    <row r="45" spans="1:7" x14ac:dyDescent="0.3">
      <c r="A45" t="s">
        <v>63</v>
      </c>
      <c r="B45" t="s">
        <v>106</v>
      </c>
      <c r="C45" t="s">
        <v>163</v>
      </c>
      <c r="D45" t="s">
        <v>22</v>
      </c>
      <c r="E45" t="s">
        <v>17</v>
      </c>
      <c r="F45">
        <f t="shared" si="0"/>
        <v>2</v>
      </c>
      <c r="G45" t="s">
        <v>9</v>
      </c>
    </row>
    <row r="46" spans="1:7" x14ac:dyDescent="0.3">
      <c r="A46" t="s">
        <v>63</v>
      </c>
      <c r="B46" t="s">
        <v>107</v>
      </c>
      <c r="C46" t="s">
        <v>164</v>
      </c>
      <c r="D46" t="s">
        <v>22</v>
      </c>
      <c r="E46" t="s">
        <v>17</v>
      </c>
      <c r="F46">
        <f t="shared" si="0"/>
        <v>2</v>
      </c>
      <c r="G46" t="s">
        <v>9</v>
      </c>
    </row>
    <row r="47" spans="1:7" x14ac:dyDescent="0.3">
      <c r="A47" t="s">
        <v>63</v>
      </c>
      <c r="B47" t="s">
        <v>108</v>
      </c>
      <c r="C47" t="s">
        <v>165</v>
      </c>
      <c r="D47" t="s">
        <v>22</v>
      </c>
      <c r="E47" t="s">
        <v>19</v>
      </c>
      <c r="F47">
        <f t="shared" si="0"/>
        <v>2.2000000000000002</v>
      </c>
      <c r="G47" t="s">
        <v>9</v>
      </c>
    </row>
    <row r="48" spans="1:7" x14ac:dyDescent="0.3">
      <c r="A48" t="s">
        <v>63</v>
      </c>
      <c r="B48" t="s">
        <v>109</v>
      </c>
      <c r="C48" t="s">
        <v>166</v>
      </c>
      <c r="D48" t="s">
        <v>22</v>
      </c>
      <c r="E48" t="s">
        <v>17</v>
      </c>
      <c r="F48">
        <f t="shared" si="0"/>
        <v>2</v>
      </c>
      <c r="G48" t="s">
        <v>9</v>
      </c>
    </row>
    <row r="49" spans="1:7" x14ac:dyDescent="0.3">
      <c r="A49" t="s">
        <v>64</v>
      </c>
      <c r="B49" t="s">
        <v>110</v>
      </c>
      <c r="C49" t="s">
        <v>167</v>
      </c>
      <c r="D49" t="s">
        <v>23</v>
      </c>
      <c r="E49" t="s">
        <v>17</v>
      </c>
      <c r="F49">
        <f t="shared" si="0"/>
        <v>5</v>
      </c>
      <c r="G49" t="s">
        <v>9</v>
      </c>
    </row>
    <row r="50" spans="1:7" x14ac:dyDescent="0.3">
      <c r="A50" t="s">
        <v>64</v>
      </c>
      <c r="B50" t="s">
        <v>111</v>
      </c>
      <c r="C50" t="s">
        <v>168</v>
      </c>
      <c r="D50" t="s">
        <v>22</v>
      </c>
      <c r="E50" t="s">
        <v>19</v>
      </c>
      <c r="F50">
        <f t="shared" si="0"/>
        <v>2.2000000000000002</v>
      </c>
      <c r="G50" t="s">
        <v>9</v>
      </c>
    </row>
    <row r="51" spans="1:7" x14ac:dyDescent="0.3">
      <c r="A51" t="s">
        <v>64</v>
      </c>
      <c r="B51" t="s">
        <v>112</v>
      </c>
      <c r="C51" t="s">
        <v>169</v>
      </c>
      <c r="D51" t="s">
        <v>24</v>
      </c>
      <c r="E51" t="s">
        <v>20</v>
      </c>
      <c r="F51">
        <f t="shared" si="0"/>
        <v>15</v>
      </c>
      <c r="G51" t="s">
        <v>9</v>
      </c>
    </row>
    <row r="52" spans="1:7" x14ac:dyDescent="0.3">
      <c r="A52" t="s">
        <v>64</v>
      </c>
      <c r="B52" t="s">
        <v>113</v>
      </c>
      <c r="C52" t="s">
        <v>170</v>
      </c>
      <c r="D52" t="s">
        <v>24</v>
      </c>
      <c r="E52" t="s">
        <v>20</v>
      </c>
      <c r="F52">
        <f t="shared" si="0"/>
        <v>15</v>
      </c>
      <c r="G52" t="s">
        <v>9</v>
      </c>
    </row>
    <row r="53" spans="1:7" x14ac:dyDescent="0.3">
      <c r="A53" t="s">
        <v>64</v>
      </c>
      <c r="B53" t="s">
        <v>114</v>
      </c>
      <c r="C53" t="s">
        <v>171</v>
      </c>
      <c r="D53" t="s">
        <v>23</v>
      </c>
      <c r="E53" t="s">
        <v>18</v>
      </c>
      <c r="F53">
        <f t="shared" si="0"/>
        <v>6.25</v>
      </c>
      <c r="G53" t="s">
        <v>9</v>
      </c>
    </row>
    <row r="54" spans="1:7" x14ac:dyDescent="0.3">
      <c r="A54" t="s">
        <v>64</v>
      </c>
      <c r="B54" t="s">
        <v>115</v>
      </c>
      <c r="C54" t="s">
        <v>172</v>
      </c>
      <c r="D54" t="s">
        <v>23</v>
      </c>
      <c r="E54" t="s">
        <v>20</v>
      </c>
      <c r="F54">
        <f t="shared" si="0"/>
        <v>7.5</v>
      </c>
      <c r="G54" t="s">
        <v>9</v>
      </c>
    </row>
    <row r="55" spans="1:7" x14ac:dyDescent="0.3">
      <c r="A55" t="s">
        <v>64</v>
      </c>
      <c r="B55" t="s">
        <v>116</v>
      </c>
      <c r="C55" t="s">
        <v>173</v>
      </c>
      <c r="D55" t="s">
        <v>23</v>
      </c>
      <c r="E55" t="s">
        <v>17</v>
      </c>
      <c r="F55">
        <f t="shared" si="0"/>
        <v>5</v>
      </c>
      <c r="G55" t="s">
        <v>9</v>
      </c>
    </row>
    <row r="56" spans="1:7" x14ac:dyDescent="0.3">
      <c r="A56" t="s">
        <v>64</v>
      </c>
      <c r="B56" t="s">
        <v>117</v>
      </c>
      <c r="C56" t="s">
        <v>174</v>
      </c>
      <c r="D56" t="s">
        <v>22</v>
      </c>
      <c r="E56" t="s">
        <v>19</v>
      </c>
      <c r="F56">
        <f t="shared" si="0"/>
        <v>2.2000000000000002</v>
      </c>
      <c r="G56" t="s">
        <v>9</v>
      </c>
    </row>
    <row r="57" spans="1:7" x14ac:dyDescent="0.3">
      <c r="A57" t="s">
        <v>64</v>
      </c>
      <c r="B57" t="s">
        <v>118</v>
      </c>
      <c r="C57" t="s">
        <v>175</v>
      </c>
      <c r="D57" t="s">
        <v>22</v>
      </c>
      <c r="E57" t="s">
        <v>18</v>
      </c>
      <c r="F57">
        <f t="shared" si="0"/>
        <v>2.5</v>
      </c>
      <c r="G57" t="s">
        <v>9</v>
      </c>
    </row>
    <row r="58" spans="1:7" x14ac:dyDescent="0.3">
      <c r="A58" t="s">
        <v>65</v>
      </c>
      <c r="B58" t="s">
        <v>119</v>
      </c>
      <c r="C58" t="s">
        <v>176</v>
      </c>
      <c r="D58" t="s">
        <v>24</v>
      </c>
      <c r="E58" t="s">
        <v>20</v>
      </c>
      <c r="F58">
        <f t="shared" si="0"/>
        <v>15</v>
      </c>
      <c r="G58" t="s">
        <v>9</v>
      </c>
    </row>
    <row r="59" spans="1:7" x14ac:dyDescent="0.3">
      <c r="A59" t="s">
        <v>64</v>
      </c>
      <c r="B59" t="s">
        <v>191</v>
      </c>
      <c r="C59" t="s">
        <v>179</v>
      </c>
      <c r="D59" t="s">
        <v>22</v>
      </c>
      <c r="E59" t="s">
        <v>17</v>
      </c>
      <c r="F59">
        <f t="shared" si="0"/>
        <v>2</v>
      </c>
      <c r="G59" t="s">
        <v>9</v>
      </c>
    </row>
    <row r="60" spans="1:7" x14ac:dyDescent="0.3">
      <c r="A60" t="s">
        <v>66</v>
      </c>
      <c r="B60" t="s">
        <v>120</v>
      </c>
      <c r="C60" t="s">
        <v>181</v>
      </c>
      <c r="D60" t="s">
        <v>24</v>
      </c>
      <c r="E60" t="s">
        <v>20</v>
      </c>
      <c r="F60">
        <f t="shared" ref="F60:F62" si="1">VALUE(MID(D60, FIND("(", D60)+1, FIND(")", D60)-FIND("(", D60)-1)) * VALUE(MID(E60, FIND("(", E60)+1, FIND(")", E60)-FIND("(", E60)-1))</f>
        <v>15</v>
      </c>
      <c r="G60" t="s">
        <v>9</v>
      </c>
    </row>
    <row r="61" spans="1:7" x14ac:dyDescent="0.3">
      <c r="A61" t="s">
        <v>66</v>
      </c>
      <c r="B61" t="s">
        <v>121</v>
      </c>
      <c r="C61" t="s">
        <v>182</v>
      </c>
      <c r="D61" t="s">
        <v>23</v>
      </c>
      <c r="E61" t="s">
        <v>19</v>
      </c>
      <c r="F61">
        <f t="shared" si="1"/>
        <v>5.5</v>
      </c>
      <c r="G61" t="s">
        <v>9</v>
      </c>
    </row>
    <row r="62" spans="1:7" x14ac:dyDescent="0.3">
      <c r="A62" t="s">
        <v>66</v>
      </c>
      <c r="B62" t="s">
        <v>122</v>
      </c>
      <c r="C62" t="s">
        <v>183</v>
      </c>
      <c r="D62" t="s">
        <v>23</v>
      </c>
      <c r="E62" t="s">
        <v>19</v>
      </c>
      <c r="F62">
        <f t="shared" si="1"/>
        <v>5.5</v>
      </c>
      <c r="G62" t="s">
        <v>9</v>
      </c>
    </row>
    <row r="63" spans="1:7" x14ac:dyDescent="0.3">
      <c r="A63" t="s">
        <v>66</v>
      </c>
      <c r="B63" t="s">
        <v>185</v>
      </c>
      <c r="C63" t="s">
        <v>186</v>
      </c>
      <c r="D63" t="s">
        <v>23</v>
      </c>
      <c r="E63" t="s">
        <v>19</v>
      </c>
    </row>
  </sheetData>
  <autoFilter ref="A1:H37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Guidelines!$A$15:$A$20</xm:f>
          </x14:formula1>
          <xm:sqref>D1:D1048576</xm:sqref>
        </x14:dataValidation>
        <x14:dataValidation type="list" allowBlank="1" showInputMessage="1" showErrorMessage="1">
          <x14:formula1>
            <xm:f>Guidelines!$A$9:$A$12</xm:f>
          </x14:formula1>
          <xm:sqref>E1:E1048576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C19" sqref="C19"/>
    </sheetView>
  </sheetViews>
  <sheetFormatPr defaultRowHeight="14.4" x14ac:dyDescent="0.3"/>
  <cols>
    <col min="1" max="1" width="30.88671875" bestFit="1" customWidth="1"/>
    <col min="3" max="3" width="15.5546875" bestFit="1" customWidth="1"/>
    <col min="4" max="4" width="22.44140625" bestFit="1" customWidth="1"/>
  </cols>
  <sheetData>
    <row r="1" spans="1:4" x14ac:dyDescent="0.3">
      <c r="A1" s="1" t="s">
        <v>41</v>
      </c>
    </row>
    <row r="2" spans="1:4" x14ac:dyDescent="0.3">
      <c r="A2" s="3" t="s">
        <v>42</v>
      </c>
      <c r="B2" s="4">
        <f>SUM(Features!F2:F187)</f>
        <v>287.64999999999998</v>
      </c>
      <c r="C2" t="s">
        <v>43</v>
      </c>
    </row>
    <row r="3" spans="1:4" x14ac:dyDescent="0.3">
      <c r="A3" s="5" t="s">
        <v>29</v>
      </c>
      <c r="B3" s="6">
        <v>5</v>
      </c>
      <c r="C3" t="s">
        <v>46</v>
      </c>
    </row>
    <row r="4" spans="1:4" x14ac:dyDescent="0.3">
      <c r="A4" s="5" t="s">
        <v>30</v>
      </c>
      <c r="B4" s="6">
        <v>0.5</v>
      </c>
      <c r="C4" t="s">
        <v>44</v>
      </c>
    </row>
    <row r="5" spans="1:4" x14ac:dyDescent="0.3">
      <c r="A5" s="5" t="s">
        <v>31</v>
      </c>
      <c r="B5" s="6">
        <v>1</v>
      </c>
      <c r="C5" t="s">
        <v>44</v>
      </c>
    </row>
    <row r="6" spans="1:4" x14ac:dyDescent="0.3">
      <c r="A6" s="5" t="s">
        <v>27</v>
      </c>
      <c r="B6" s="6">
        <v>1</v>
      </c>
      <c r="C6" t="s">
        <v>44</v>
      </c>
    </row>
    <row r="7" spans="1:4" x14ac:dyDescent="0.3">
      <c r="A7" s="5" t="s">
        <v>33</v>
      </c>
      <c r="B7" s="6">
        <v>0.5</v>
      </c>
      <c r="C7" t="s">
        <v>44</v>
      </c>
    </row>
    <row r="8" spans="1:4" x14ac:dyDescent="0.3">
      <c r="A8" s="5" t="s">
        <v>32</v>
      </c>
      <c r="B8" s="6">
        <v>0.5</v>
      </c>
      <c r="C8" t="s">
        <v>44</v>
      </c>
    </row>
    <row r="9" spans="1:4" x14ac:dyDescent="0.3">
      <c r="A9" s="7" t="s">
        <v>28</v>
      </c>
      <c r="B9" s="8">
        <f>((B2/B3)/10)+B4+B5+B6+B7+B8</f>
        <v>9.2530000000000001</v>
      </c>
      <c r="C9" t="s">
        <v>47</v>
      </c>
      <c r="D9" t="s">
        <v>45</v>
      </c>
    </row>
    <row r="12" spans="1:4" ht="15" thickBot="1" x14ac:dyDescent="0.35">
      <c r="A12" s="1" t="s">
        <v>39</v>
      </c>
    </row>
    <row r="13" spans="1:4" ht="16.2" thickBot="1" x14ac:dyDescent="0.35">
      <c r="A13" s="9" t="s">
        <v>34</v>
      </c>
      <c r="B13" s="10" t="s">
        <v>35</v>
      </c>
      <c r="C13" s="10" t="s">
        <v>55</v>
      </c>
      <c r="D13" s="11" t="s">
        <v>6</v>
      </c>
    </row>
    <row r="14" spans="1:4" ht="15.6" x14ac:dyDescent="0.3">
      <c r="A14" s="12" t="s">
        <v>192</v>
      </c>
      <c r="B14" s="13">
        <v>1</v>
      </c>
      <c r="C14" s="13">
        <v>95</v>
      </c>
      <c r="D14" s="14"/>
    </row>
    <row r="15" spans="1:4" ht="15.6" x14ac:dyDescent="0.3">
      <c r="A15" s="15" t="s">
        <v>193</v>
      </c>
      <c r="B15" s="13">
        <v>3</v>
      </c>
      <c r="C15" s="13">
        <v>95</v>
      </c>
      <c r="D15" s="14"/>
    </row>
    <row r="16" spans="1:4" ht="15.6" x14ac:dyDescent="0.3">
      <c r="A16" s="15" t="s">
        <v>194</v>
      </c>
      <c r="B16" s="16">
        <v>1</v>
      </c>
      <c r="C16" s="13">
        <v>95</v>
      </c>
      <c r="D16" s="14"/>
    </row>
    <row r="17" spans="1:4" ht="15.6" x14ac:dyDescent="0.3">
      <c r="A17" s="15" t="s">
        <v>36</v>
      </c>
      <c r="B17" s="16">
        <v>1</v>
      </c>
      <c r="C17" s="13">
        <v>95</v>
      </c>
      <c r="D17" s="17"/>
    </row>
    <row r="18" spans="1:4" ht="15.6" x14ac:dyDescent="0.3">
      <c r="A18" s="15" t="s">
        <v>40</v>
      </c>
      <c r="B18" s="16">
        <v>1</v>
      </c>
      <c r="C18" s="13">
        <v>35</v>
      </c>
      <c r="D18" s="17"/>
    </row>
    <row r="19" spans="1:4" ht="15.6" x14ac:dyDescent="0.3">
      <c r="A19" s="15" t="s">
        <v>54</v>
      </c>
      <c r="B19" s="16">
        <v>0</v>
      </c>
      <c r="C19" s="13">
        <v>0</v>
      </c>
      <c r="D19" s="17"/>
    </row>
    <row r="20" spans="1:4" ht="15.6" x14ac:dyDescent="0.3">
      <c r="A20" s="18" t="s">
        <v>37</v>
      </c>
      <c r="B20" s="16">
        <v>1</v>
      </c>
      <c r="C20" s="13">
        <v>95</v>
      </c>
      <c r="D20" s="17"/>
    </row>
    <row r="21" spans="1:4" ht="15.6" x14ac:dyDescent="0.3">
      <c r="A21" s="18" t="s">
        <v>38</v>
      </c>
      <c r="B21" s="16">
        <v>1</v>
      </c>
      <c r="C21" s="13">
        <v>60</v>
      </c>
      <c r="D21" s="17"/>
    </row>
    <row r="22" spans="1:4" ht="15.6" x14ac:dyDescent="0.3">
      <c r="A22" s="19"/>
      <c r="B22" s="20"/>
      <c r="C22" s="20"/>
      <c r="D22" s="17"/>
    </row>
    <row r="23" spans="1:4" ht="15.6" x14ac:dyDescent="0.3">
      <c r="A23" s="19"/>
      <c r="B23" s="20"/>
      <c r="C23" s="20"/>
      <c r="D23" s="17"/>
    </row>
    <row r="24" spans="1:4" ht="16.2" thickBot="1" x14ac:dyDescent="0.35">
      <c r="A24" s="21"/>
      <c r="B24" s="22"/>
      <c r="C24" s="22"/>
      <c r="D24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B16" sqref="B16"/>
    </sheetView>
  </sheetViews>
  <sheetFormatPr defaultRowHeight="14.4" x14ac:dyDescent="0.3"/>
  <cols>
    <col min="1" max="1" width="12.77734375" bestFit="1" customWidth="1"/>
    <col min="2" max="2" width="35.44140625" bestFit="1" customWidth="1"/>
  </cols>
  <sheetData>
    <row r="1" spans="1:2" s="1" customFormat="1" x14ac:dyDescent="0.3">
      <c r="A1" s="1" t="s">
        <v>5</v>
      </c>
      <c r="B1" s="1" t="s">
        <v>8</v>
      </c>
    </row>
    <row r="2" spans="1:2" x14ac:dyDescent="0.3">
      <c r="A2" t="s">
        <v>9</v>
      </c>
      <c r="B2" t="s">
        <v>13</v>
      </c>
    </row>
    <row r="3" spans="1:2" x14ac:dyDescent="0.3">
      <c r="A3" t="s">
        <v>10</v>
      </c>
      <c r="B3" t="s">
        <v>14</v>
      </c>
    </row>
    <row r="4" spans="1:2" x14ac:dyDescent="0.3">
      <c r="A4" t="s">
        <v>11</v>
      </c>
      <c r="B4" t="s">
        <v>15</v>
      </c>
    </row>
    <row r="5" spans="1:2" x14ac:dyDescent="0.3">
      <c r="A5" t="s">
        <v>12</v>
      </c>
      <c r="B5" t="s">
        <v>16</v>
      </c>
    </row>
    <row r="8" spans="1:2" s="1" customFormat="1" x14ac:dyDescent="0.3">
      <c r="A8" s="1" t="s">
        <v>3</v>
      </c>
      <c r="B8" s="1" t="s">
        <v>8</v>
      </c>
    </row>
    <row r="9" spans="1:2" x14ac:dyDescent="0.3">
      <c r="A9" t="s">
        <v>17</v>
      </c>
      <c r="B9" t="s">
        <v>48</v>
      </c>
    </row>
    <row r="10" spans="1:2" x14ac:dyDescent="0.3">
      <c r="A10" t="s">
        <v>19</v>
      </c>
      <c r="B10" t="s">
        <v>49</v>
      </c>
    </row>
    <row r="11" spans="1:2" x14ac:dyDescent="0.3">
      <c r="A11" t="s">
        <v>18</v>
      </c>
      <c r="B11" t="s">
        <v>50</v>
      </c>
    </row>
    <row r="12" spans="1:2" x14ac:dyDescent="0.3">
      <c r="A12" t="s">
        <v>20</v>
      </c>
      <c r="B12" t="s">
        <v>51</v>
      </c>
    </row>
    <row r="14" spans="1:2" s="1" customFormat="1" x14ac:dyDescent="0.3">
      <c r="A14" s="1" t="s">
        <v>21</v>
      </c>
      <c r="B14" s="1" t="s">
        <v>8</v>
      </c>
    </row>
    <row r="15" spans="1:2" s="1" customFormat="1" x14ac:dyDescent="0.3">
      <c r="A15" s="25" t="s">
        <v>53</v>
      </c>
      <c r="B15" s="24" t="s">
        <v>52</v>
      </c>
    </row>
    <row r="16" spans="1:2" x14ac:dyDescent="0.3">
      <c r="A16" t="s">
        <v>22</v>
      </c>
    </row>
    <row r="17" spans="1:1" x14ac:dyDescent="0.3">
      <c r="A17" t="s">
        <v>23</v>
      </c>
    </row>
    <row r="18" spans="1:1" x14ac:dyDescent="0.3">
      <c r="A18" t="s">
        <v>24</v>
      </c>
    </row>
    <row r="19" spans="1:1" x14ac:dyDescent="0.3">
      <c r="A19" t="s">
        <v>25</v>
      </c>
    </row>
    <row r="20" spans="1:1" x14ac:dyDescent="0.3">
      <c r="A20" t="s">
        <v>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Features</vt:lpstr>
      <vt:lpstr>Estimate Summary</vt:lpstr>
      <vt:lpstr>Guidelines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2026-01-27T12:54:46Z</dcterms:modified>
</cp:coreProperties>
</file>