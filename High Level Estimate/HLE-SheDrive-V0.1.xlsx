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Features" sheetId="1" r:id="rId1"/>
    <sheet name="Estimate Summary" sheetId="2" r:id="rId2"/>
    <sheet name="Guidelines" sheetId="3" r:id="rId3"/>
  </sheets>
  <externalReferences>
    <externalReference r:id="rId4"/>
  </externalReferences>
  <definedNames>
    <definedName name="_xlnm._FilterDatabase" localSheetId="0" hidden="1">Features!$A$1:$H$101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4" i="1" l="1"/>
  <c r="F75" i="1"/>
  <c r="F76" i="1"/>
  <c r="F77" i="1"/>
  <c r="F78" i="1"/>
  <c r="F57" i="1" l="1"/>
  <c r="F58" i="1"/>
  <c r="F59" i="1"/>
  <c r="F60" i="1"/>
  <c r="F61" i="1"/>
  <c r="F62" i="1"/>
  <c r="F63" i="1"/>
  <c r="F64" i="1"/>
  <c r="F65" i="1"/>
  <c r="F66" i="1"/>
  <c r="F67" i="1"/>
  <c r="F68" i="1"/>
  <c r="F69" i="1"/>
  <c r="F70" i="1"/>
  <c r="F71" i="1"/>
  <c r="F72" i="1"/>
  <c r="F73" i="1"/>
  <c r="F79" i="1"/>
  <c r="F80" i="1"/>
  <c r="F81" i="1"/>
  <c r="F82" i="1"/>
  <c r="F83" i="1"/>
  <c r="F84" i="1"/>
  <c r="F85" i="1"/>
  <c r="F86" i="1"/>
  <c r="F87" i="1"/>
  <c r="F88" i="1"/>
  <c r="F89" i="1"/>
  <c r="F90" i="1"/>
  <c r="F91" i="1"/>
  <c r="F92" i="1"/>
  <c r="F93" i="1"/>
  <c r="F94" i="1"/>
  <c r="F95" i="1"/>
  <c r="F96" i="1"/>
  <c r="F97" i="1"/>
  <c r="F98" i="1"/>
  <c r="F99" i="1"/>
  <c r="F100" i="1"/>
  <c r="F101" i="1"/>
  <c r="F3" i="1" l="1"/>
  <c r="F4" i="1"/>
  <c r="F5" i="1"/>
  <c r="F6" i="1"/>
  <c r="F9" i="1"/>
  <c r="F10" i="1"/>
  <c r="F13" i="1"/>
  <c r="F14" i="1"/>
  <c r="F15" i="1"/>
  <c r="F16" i="1"/>
  <c r="F17" i="1"/>
  <c r="F18" i="1"/>
  <c r="F19" i="1"/>
  <c r="F20" i="1"/>
  <c r="F21"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11" i="1"/>
  <c r="F22" i="1"/>
  <c r="F53" i="1"/>
  <c r="F12" i="1"/>
  <c r="F54" i="1"/>
  <c r="F55" i="1"/>
  <c r="F56" i="1"/>
  <c r="F2" i="1" l="1"/>
  <c r="B2" i="2" l="1"/>
  <c r="B9" i="2" s="1"/>
</calcChain>
</file>

<file path=xl/sharedStrings.xml><?xml version="1.0" encoding="utf-8"?>
<sst xmlns="http://schemas.openxmlformats.org/spreadsheetml/2006/main" count="763" uniqueCount="268">
  <si>
    <t>Feature</t>
  </si>
  <si>
    <t>Criteria</t>
  </si>
  <si>
    <t>Estimate</t>
  </si>
  <si>
    <t>Risk</t>
  </si>
  <si>
    <t>Total Time</t>
  </si>
  <si>
    <t>Priority</t>
  </si>
  <si>
    <t>Notes</t>
  </si>
  <si>
    <t>Module</t>
  </si>
  <si>
    <t>Description</t>
  </si>
  <si>
    <t>Must</t>
  </si>
  <si>
    <t>Should</t>
  </si>
  <si>
    <t>Could</t>
  </si>
  <si>
    <t>Would</t>
  </si>
  <si>
    <t>Will be included in MVP</t>
  </si>
  <si>
    <t>Could be in the next phase</t>
  </si>
  <si>
    <t xml:space="preserve">Features which enhanceming the product </t>
  </si>
  <si>
    <t>Nice To Have</t>
  </si>
  <si>
    <t>No Risk (1)</t>
  </si>
  <si>
    <t>Medium (1.25)</t>
  </si>
  <si>
    <t>Low (1.1)</t>
  </si>
  <si>
    <t>High (1.5)</t>
  </si>
  <si>
    <t>Size</t>
  </si>
  <si>
    <t>XS (2)</t>
  </si>
  <si>
    <t>S (5)</t>
  </si>
  <si>
    <t>M (10)</t>
  </si>
  <si>
    <t>L (17)</t>
  </si>
  <si>
    <t>XL (32)</t>
  </si>
  <si>
    <t>Stabilization Sprints</t>
  </si>
  <si>
    <t>Expected sprints</t>
  </si>
  <si>
    <t>Number of Dev members</t>
  </si>
  <si>
    <t xml:space="preserve">Release planning </t>
  </si>
  <si>
    <t>Sprint Zero</t>
  </si>
  <si>
    <t xml:space="preserve">Deployment </t>
  </si>
  <si>
    <t xml:space="preserve">Fixing Security Risks </t>
  </si>
  <si>
    <t xml:space="preserve">Role </t>
  </si>
  <si>
    <t xml:space="preserve">Count </t>
  </si>
  <si>
    <t>Senior QC engineer</t>
  </si>
  <si>
    <t>Product Owner</t>
  </si>
  <si>
    <t>Scrum Master</t>
  </si>
  <si>
    <t>Project Resources</t>
  </si>
  <si>
    <t>UIUX designer</t>
  </si>
  <si>
    <t>Team Efforts</t>
  </si>
  <si>
    <t>Development Effort</t>
  </si>
  <si>
    <t>Days</t>
  </si>
  <si>
    <t>#</t>
  </si>
  <si>
    <t>10 working days per sprint</t>
  </si>
  <si>
    <t>Developers</t>
  </si>
  <si>
    <t>Sprints</t>
  </si>
  <si>
    <t>The task is standard, previously done before, fully understood, and with stable requirements. No integrations, no dependencies, and no expected surprises. Fully predictable execution.</t>
  </si>
  <si>
    <t>Minor uncertainty exists. The task includes slight variations from previous work, small UI/UX changes, or simple API interactions. Requirements are mostly clear with minimal change expected. Low dependency on other teams.</t>
  </si>
  <si>
    <t>Moderate complexity or uncertainty. The task involves new data mapping, multi-step workflow, or integration with partially documented services. Requirements may need clarification. There are dependencies with multiple stakeholders or teams.</t>
  </si>
  <si>
    <t>High complexity or uncertainty. The task involves new technology, advanced integrations, multi-module impact, compliance/security constraints, or unclear/volatile requirements. High probability of changes, unknowns, or delays.</t>
  </si>
  <si>
    <t>excluded or already exist</t>
  </si>
  <si>
    <t>0 (0)</t>
  </si>
  <si>
    <t>UI developer</t>
  </si>
  <si>
    <t>Duration (days)</t>
  </si>
  <si>
    <t xml:space="preserve">Fullstack Team Lead </t>
  </si>
  <si>
    <t xml:space="preserve">Fullstack Senior Developer </t>
  </si>
  <si>
    <t>Fullstack Junior Developer</t>
  </si>
  <si>
    <t>7.1 Rider App</t>
  </si>
  <si>
    <t>7.2 Driver App</t>
  </si>
  <si>
    <t>7.3 Admin &amp; Operations Portal</t>
  </si>
  <si>
    <t>7.3.1 System Parameters Management</t>
  </si>
  <si>
    <t>7.5 Payments (Cash + Digital)</t>
  </si>
  <si>
    <t>7.6 Trip &amp; Dispatch Engine</t>
  </si>
  <si>
    <t>7.7 Pricing &amp; Neighborhood Zones</t>
  </si>
  <si>
    <t>7.8 Safety &amp; SOS</t>
  </si>
  <si>
    <t>7.9 Notifications</t>
  </si>
  <si>
    <t>7.10 Reporting &amp; Analytics</t>
  </si>
  <si>
    <t>Registration with mobile OTP</t>
  </si>
  <si>
    <t>Login, logout &amp; session management</t>
  </si>
  <si>
    <t>Profile management</t>
  </si>
  <si>
    <t>Emergency contacts management</t>
  </si>
  <si>
    <t>Fare estimate before booking</t>
  </si>
  <si>
    <t>Payment method selection</t>
  </si>
  <si>
    <t>Submit ride request</t>
  </si>
  <si>
    <t>Driver matching status &amp; wait screen</t>
  </si>
  <si>
    <t>Driver info card</t>
  </si>
  <si>
    <t>Real-time driver tracking on map</t>
  </si>
  <si>
    <t>Trip status timeline</t>
  </si>
  <si>
    <t>In-app text chat with driver</t>
  </si>
  <si>
    <t>SOS button (in-trip)</t>
  </si>
  <si>
    <t>Cancel ride with reason</t>
  </si>
  <si>
    <t>Trip completion &amp; fare breakdown</t>
  </si>
  <si>
    <t>Cash payment confirmation flow</t>
  </si>
  <si>
    <t>Digital payment processing flow</t>
  </si>
  <si>
    <t>Rate driver + feedback</t>
  </si>
  <si>
    <t>Trip history &amp; receipts</t>
  </si>
  <si>
    <t>Saved places</t>
  </si>
  <si>
    <t>Language switcher (AR/EN, RTL)</t>
  </si>
  <si>
    <t>Help &amp; support contact</t>
  </si>
  <si>
    <t>Login &amp; session management</t>
  </si>
  <si>
    <t>Identity verification (ID upload)</t>
  </si>
  <si>
    <t>Driving license upload</t>
  </si>
  <si>
    <t>Vehicle documents upload</t>
  </si>
  <si>
    <t>Vehicle photo upload</t>
  </si>
  <si>
    <t>Background check consent flow</t>
  </si>
  <si>
    <t>Onboarding status tracking</t>
  </si>
  <si>
    <t>Online / offline toggle</t>
  </si>
  <si>
    <t>Incoming request popup with timer (10s)</t>
  </si>
  <si>
    <t>Accept / decline ride request</t>
  </si>
  <si>
    <t>Pickup navigation</t>
  </si>
  <si>
    <t>Arrived at pickup confirmation</t>
  </si>
  <si>
    <t>Start trip</t>
  </si>
  <si>
    <t>In-trip navigation</t>
  </si>
  <si>
    <t>Complete trip</t>
  </si>
  <si>
    <t>Cash collection confirmation</t>
  </si>
  <si>
    <t>Trip history list</t>
  </si>
  <si>
    <t>Earnings dashboard</t>
  </si>
  <si>
    <t>Rate rider + feedback</t>
  </si>
  <si>
    <t>In-app chat with rider</t>
  </si>
  <si>
    <t>Language switcher (AR/EN)</t>
  </si>
  <si>
    <t>Rider gender confirmation on first ride (NEW)</t>
  </si>
  <si>
    <t>Admin authentication with 2FA</t>
  </si>
  <si>
    <t>Role-based access control</t>
  </si>
  <si>
    <t>Live operational dashboard</t>
  </si>
  <si>
    <t>Driver onboarding queue</t>
  </si>
  <si>
    <t>Driver document review (manual verification)</t>
  </si>
  <si>
    <t>Driver account management</t>
  </si>
  <si>
    <t>Rider account management</t>
  </si>
  <si>
    <t>Active rides list with filters</t>
  </si>
  <si>
    <t>Ride detail view</t>
  </si>
  <si>
    <t>Cancellation review queue</t>
  </si>
  <si>
    <t>Incident management workflow</t>
  </si>
  <si>
    <t>Neighborhood / zone management</t>
  </si>
  <si>
    <t>Pricing configuration per zone</t>
  </si>
  <si>
    <t>Cancellation rule configuration</t>
  </si>
  <si>
    <t>Commission rate configuration</t>
  </si>
  <si>
    <t>Cash reconciliation dashboard</t>
  </si>
  <si>
    <t>Driver cash balance tracking</t>
  </si>
  <si>
    <t>Audit logs viewer</t>
  </si>
  <si>
    <t>Static content management</t>
  </si>
  <si>
    <t>Operating hours configuration</t>
  </si>
  <si>
    <t>Driver cash balance ledger</t>
  </si>
  <si>
    <t>Driver-rider matching algorithm</t>
  </si>
  <si>
    <t>Ride request broadcasting</t>
  </si>
  <si>
    <t>Driver acceptance handling</t>
  </si>
  <si>
    <t>Decline / timeout reassignment logic</t>
  </si>
  <si>
    <t>Trip lifecycle state machine</t>
  </si>
  <si>
    <t>Real-time location streaming</t>
  </si>
  <si>
    <t>Geofence detection (pickup &amp; drop-off)</t>
  </si>
  <si>
    <t>No-driver-available retry queue</t>
  </si>
  <si>
    <t>Polygon-based neighborhood definition</t>
  </si>
  <si>
    <t>Per-zone base fare configuration</t>
  </si>
  <si>
    <t>Minimum fare per zone</t>
  </si>
  <si>
    <t>Cancellation fee rules per zone</t>
  </si>
  <si>
    <t>Pricing rule versioning &amp; history</t>
  </si>
  <si>
    <t>Peak-hour multiplier (Surge)</t>
  </si>
  <si>
    <t>Live trip sharing (rider)</t>
  </si>
  <si>
    <t>SMS gateway integration</t>
  </si>
  <si>
    <t>Push notification service (FCM / APNS)</t>
  </si>
  <si>
    <t>In-app notification center</t>
  </si>
  <si>
    <t>Email notifications (admin / finance)</t>
  </si>
  <si>
    <t>Daily / weekly ride summary</t>
  </si>
  <si>
    <t>Driver performance report</t>
  </si>
  <si>
    <t>Cancellation analytics report</t>
  </si>
  <si>
    <t>Payment reconciliation report</t>
  </si>
  <si>
    <t>Safety incident report</t>
  </si>
  <si>
    <t>Zone performance report</t>
  </si>
  <si>
    <t>Management KPI dashboard</t>
  </si>
  <si>
    <t>CSV / Excel export</t>
  </si>
  <si>
    <t>The system shall allow Riders to register using an Egyptian mobile number, verified via a one-time SMS password.</t>
  </si>
  <si>
    <t>The system shall provide Riders with secure login, logout, and persistent session management with defined session expiry.</t>
  </si>
  <si>
    <t>The system shall allow Riders to view and edit their name, profile photo, email, and language preference.</t>
  </si>
  <si>
    <t>The system shall present Riders with a map-based home screen showing current location, recent destinations, and a primary call-to-action to request a ride.</t>
  </si>
  <si>
    <t>The system shall allow Riders to set the pickup location via GPS auto-detection, manual map pin placement, or selection from saved places.</t>
  </si>
  <si>
    <t>The system shall allow Riders to set the destination by searching by name or address, placing a manual map pin, or selecting from saved places.</t>
  </si>
  <si>
    <t>The system shall display an estimated fare and trip duration to the Rider before request submission, calculated using configured zone-based pricing rules.</t>
  </si>
  <si>
    <t>The system shall allow Riders to select between cash and digital (saved or new card) as the payment method for each ride.</t>
  </si>
  <si>
    <t>The system shall allow Riders to submit a ride request after confirming pickup, destination, payment method, and child accompaniment information.</t>
  </si>
  <si>
    <t>The system shall display a 'searching for driver' status to Riders during driver matching, with the option to cancel before driver assignment.</t>
  </si>
  <si>
    <t>The system shall display the assigned Driver's photo, name, vehicle make/model/colour, plate number, and average rating to the Rider upon assignment.</t>
  </si>
  <si>
    <t>The system shall provide Riders with real-time map tracking of the assigned Driver, with continuously updated estimated time of arrival.</t>
  </si>
  <si>
    <t>The system shall present Riders with a visual timeline showing trip progress through the states: assigned, driver arrived, trip started, and trip completed.</t>
  </si>
  <si>
    <t>The system shall provide Riders with limited in-app text messaging to the assigned Driver during the active ride, with messaging disabled after trip completion.</t>
  </si>
  <si>
    <t>The system shall allow Riders to cancel a ride before trip starting, requiring selection of a reason from a predefined list, and shall display any applicable cancellation fee before confirmation.</t>
  </si>
  <si>
    <t>The system shall display the final fare with itemised breakdown (base, distance, time, fees) to the Rider upon trip completion.</t>
  </si>
  <si>
    <t>The system shall require both Rider and Driver confirmation of cash payment for cash trips, closing the trip only upon dual confirmation.</t>
  </si>
  <si>
    <t>The system shall capture authorised digital payment from the Rider's selected card upon trip completion and display the payment outcome to the Rider.</t>
  </si>
  <si>
    <t>The system shall allow Riders to rate the Driver on a 1-to-5 scale and submit categorical tags and free-text feedback after trip completion.</t>
  </si>
  <si>
    <t>The system shall provide Riders with a chronological list of past trips, including date, route, fare, payment method, and access to trip receipts.</t>
  </si>
  <si>
    <t>The system shall allow Riders to save home, work, and custom locations for quick selection during booking.</t>
  </si>
  <si>
    <t>The system shall allow Riders to switch the application language between Arabic (with full right-to-left support) and English, with the selection persisting across sessions.</t>
  </si>
  <si>
    <t>The system shall provide Riders with access to in-app FAQs, a contact form, and direct contact channels to customer support.</t>
  </si>
  <si>
    <t>The system shall allow Drivers to register using an Egyptian mobile number, verified via a one-time SMS password.</t>
  </si>
  <si>
    <t>The system shall provide Drivers with secure login, logout, and persistent session management with defined session expiry.</t>
  </si>
  <si>
    <t>The system shall allow Drivers to view and edit their name, profile photo, contact information, and language preference.</t>
  </si>
  <si>
    <t>The system shall require Drivers to upload national ID (front and back) as part of onboarding. Verification is performed manually by Operations via the Admin Portal (no automated OCR or face-match in MVP).</t>
  </si>
  <si>
    <t>The system shall require Drivers to upload front and back images of a valid Egyptian driving license as part of onboarding; validation of format, expiry, and category is performed manually by Operations.</t>
  </si>
  <si>
    <t>The system shall require Drivers to upload current vehicle registration and valid insurance documents as part of onboarding.</t>
  </si>
  <si>
    <t>The system shall require Drivers to upload exterior photographs of their vehicle so that Riders can visually identify the assigned vehicle.</t>
  </si>
  <si>
    <t>The system shall require Drivers to acknowledge and consent to a background check before document review proceeds.</t>
  </si>
  <si>
    <t>The system shall display the current onboarding status to Drivers across each stage (documents submitted, under review, approved, or rejected).</t>
  </si>
  <si>
    <t>The system shall provide Drivers with a single-tap toggle to switch between online (available) and offline (unavailable) status.</t>
  </si>
  <si>
    <t>The system shall present incoming ride requests to available Drivers as a popup containing rider, route, and fare information, automatically dismissing after a defined timeout.</t>
  </si>
  <si>
    <t>The system shall allow Drivers to accept or decline incoming ride requests within the timeout window, triggering reassignment upon decline or timeout.</t>
  </si>
  <si>
    <t>The system shall provide Drivers with a deep link to a default mapping application for turn-by-turn navigation to the Rider's pickup location.</t>
  </si>
  <si>
    <t>The system shall allow Drivers to confirm arrival at the pickup location, triggering rider notification and starting the pickup wait window.</t>
  </si>
  <si>
    <t>The system shall allow Drivers to start the trip after pickup, transitioning the trip lifecycle to 'in progress' and initiating real-time location streaming.</t>
  </si>
  <si>
    <t>The system shall provide Drivers with a deep link to a default mapping application for navigation to the destination during an active trip.</t>
  </si>
  <si>
    <t>The system shall allow Drivers to complete the trip upon reaching the destination, triggering fare calculation and payment processing.</t>
  </si>
  <si>
    <t>The system shall allow Drivers to cancel an assigned ride before trip completion, requiring a reason from a predefined list, with repeated cancellations flagged for review.</t>
  </si>
  <si>
    <t>The system shall allow Drivers to confirm cash payment receipt for cash trips, matched against the Rider's confirmation to close the trip.</t>
  </si>
  <si>
    <t>The system shall provide Drivers with a chronological list of completed trips, including route, fare, and rider rating.</t>
  </si>
  <si>
    <t>The system shall provide Drivers with a daily, weekly, and per-trip earnings dashboard, including platform commission breakdown.</t>
  </si>
  <si>
    <t>The system shall allow Drivers to rate the Rider on a 1-to-5 scale and submit categorical tags after trip completion.</t>
  </si>
  <si>
    <t>The system shall provide Drivers with an SOS button accessible during an active trip that triggers the safety alert workflow.</t>
  </si>
  <si>
    <t>The system shall provide Drivers with limited in-app text messaging to the assigned Rider during the active ride, with messaging disabled after trip completion.</t>
  </si>
  <si>
    <t>The system shall provide Drivers with access to in-app FAQs, a support form, and direct contact channels to customer support.</t>
  </si>
  <si>
    <t>The system shall allow Drivers to switch the application language between Arabic and English, with the selection persisting across sessions.</t>
  </si>
  <si>
    <t>On a Rider's first completed trip, the system shall prompt the assigned Driver to confirm that the Rider is female. The confirmation result shall mark the Rider as verified (or flag the account for Operations review) and shall be recorded against the Rider account for audit.</t>
  </si>
  <si>
    <t>The system shall require Administrators to authenticate using credentials and a second factor (TOTP or SMS), with enforced session timeout.</t>
  </si>
  <si>
    <t>The system shall enforce role-based access control across portal features and data, supporting roles including Administrator, Operations Supervisor, Customer Support, Finance, and Compliance.</t>
  </si>
  <si>
    <t>The system shall provide Administrators with a live dashboard displaying key operational indicators, including active rides, online drivers, open SOS events, and payment failures.</t>
  </si>
  <si>
    <t>The system shall present Administrators with a queue of Drivers awaiting review, with filtering by status and submission date.</t>
  </si>
  <si>
    <t>The system shall allow Administrators to inspect submitted Driver identity, license, and vehicle documents and to approve or reject onboarding with a captured reason. Verification is fully manual (no automated OCR/face-match) for MVP.</t>
  </si>
  <si>
    <t>The system shall allow Administrators to activate, suspend, or deactivate Driver accounts, with each action recorded in the audit trail.</t>
  </si>
  <si>
    <t>The system shall allow Administrators to search, view, suspend, or block Rider accounts, including viewing trip history and rider-verification status (from first-ride driver confirmation).</t>
  </si>
  <si>
    <t>The system shall provide Administrators with a tabular view of active rides, with filters for zone, status, payment method, and child accompaniment.</t>
  </si>
  <si>
    <t>The system shall provide Administrators with a complete trip-detail view, including event timeline, location trail, payment, and communication log.</t>
  </si>
  <si>
    <t>The system shall provide Administrators with a list of recent cancellations and their reasons.</t>
  </si>
  <si>
    <t>The system shall allow Administrators to log incidents linked to specific rides or users, assign owners, track resolution, and close incidents with notes.</t>
  </si>
  <si>
    <t>The system shall allow Administrators to define neighborhood polygons on a map and to activate, deactivate, or edit zone boundaries.</t>
  </si>
  <si>
    <t>The system shall allow Administrators to configure base fare, per-kilometre and per-minute rates, minimum fare, and zone-pair pricing rules per zone.</t>
  </si>
  <si>
    <t>The system shall allow Administrators to configure cancellation time windows and applicable fees, globally or per zone.</t>
  </si>
  <si>
    <t>The system shall allow Administrators to configure platform commission percentages globally or per zone.</t>
  </si>
  <si>
    <t>The system shall provide Administrators with an aggregate view of cash owed by Drivers versus cash settled, including identification of overdue settlements.</t>
  </si>
  <si>
    <t>The system shall provide a per-Driver ledger of cash trips, commission accrued, and settlement history.</t>
  </si>
  <si>
    <t>The system shall provide a searchable log of all administrative actions, including approvals, suspensions, configuration changes, and refunds.</t>
  </si>
  <si>
    <t>The system shall allow Administrators to manage Terms &amp; Conditions, privacy policy, and FAQ content shown in the apps without code deployment.</t>
  </si>
  <si>
    <t>The system shall allow authorised Administrators to configure the platform's daily operating window (start time and end time, in local Egyptian time), with changes applying prospectively and recorded in the audit log.</t>
  </si>
  <si>
    <t>The system shall maintain a per-Driver ledger of cash trips, commission accrued, and amounts owed to the platform.</t>
  </si>
  <si>
    <t>The system shall match each ride request to the most suitable eligible Driver based on proximity, working zone, and driver rating.</t>
  </si>
  <si>
    <t>The system shall broadcast ride requests to candidate Drivers, sequentially, within a defined timeout window (10 seconds).</t>
  </si>
  <si>
    <t>The system shall process Driver acceptance with an atomic lock to prevent multiple Drivers from being assigned to the same ride.</t>
  </si>
  <si>
    <t>The system shall re-broadcast a ride request to the next eligible Driver upon decline or response timeout.</t>
  </si>
  <si>
    <t>The system shall enforce valid state transitions across the trip lifecycle: requested, assigned, arrived, started, completed, and cancelled.</t>
  </si>
  <si>
    <t>The system shall stream the Driver's location during an active trip to the Rider App and the Operations portal.</t>
  </si>
  <si>
    <t>The system shall detect Driver entry into pickup and drop-off zones and trigger relevant lifecycle events.</t>
  </si>
  <si>
    <t>The system shall queue ride requests for re-broadcast with exponential backoff when no eligible Driver is available, notifying the Rider after a defined number of attempts.</t>
  </si>
  <si>
    <t>The system shall allow Administrators to define neighborhood boundaries as map polygons, persisted as geo-fences.</t>
  </si>
  <si>
    <t>The system shall allow Administrators to set a base fare per zone, applied to trips originating in that zone.</t>
  </si>
  <si>
    <t>The system shall allow Administrators to set distance-based and duration-based rates per zone.</t>
  </si>
  <si>
    <t>The system shall allow Administrators to define a minimum fare per zone to ensure short trips remain commercially viable.</t>
  </si>
  <si>
    <t>The system shall allow Administrators to configure cancellation timing windows and fee amounts per zone.</t>
  </si>
  <si>
    <t>The system shall optionally apply a configured multiplier to base pricing during defined peak hours per zone.</t>
  </si>
  <si>
    <t>The system shall provide a shareable live link to a Rider's trip status, automatically delivered to Trusted Contacts on trip start or SOS activation.</t>
  </si>
  <si>
    <t>The system shall integrate with the configured SMS gateway for delivery of one-time passwords and critical alerts.</t>
  </si>
  <si>
    <t>The system shall integrate with Firebase Cloud Messaging (Android) and Apple Push Notification Service (iOS) for push delivery, with managed device-token storage.</t>
  </si>
  <si>
    <t>The system shall provide a persistent in-app inbox of recent notifications in the Rider, Driver, and Administrator applications.</t>
  </si>
  <si>
    <t>The system shall support email delivery for administrative and finance notifications, including reconciliation summaries.</t>
  </si>
  <si>
    <t>The system shall produce daily and weekly summary reports of trips, gross merchandise value, completion rate, and average fare, grouped by day, week, and zone.</t>
  </si>
  <si>
    <t>The system shall produce per-Driver performance reports including trips completed, earnings, cancellation rate, average rating, and hours online.</t>
  </si>
  <si>
    <t>The system shall produce reports on cancellation reasons, timing patterns, and correlation with zones, Drivers, and Riders.</t>
  </si>
  <si>
    <t>The system shall produce a payment reconciliation report covering cash and digital splits, success and failure rates, and outstanding cash balances.</t>
  </si>
  <si>
    <t>The system shall produce safety incident reports including SOS counts, response times, escalation outcomes, and accounts with repeat incidents.</t>
  </si>
  <si>
    <t>The system shall produce per-zone performance reports including trips, gross merchandise value, supply versus demand balance, and cancellation rate.</t>
  </si>
  <si>
    <t>The system shall provide an executive-level KPI dashboard covering gross merchandise value, active users, retention, safety, and financial health.</t>
  </si>
  <si>
    <t>The system shall support exporting filtered data from any report to CSV or Microsoft Excel formats.</t>
  </si>
  <si>
    <t>Team Ownership</t>
  </si>
  <si>
    <t>Mix</t>
  </si>
  <si>
    <t>Mix (Mobile first)</t>
  </si>
  <si>
    <t>Mobile only</t>
  </si>
  <si>
    <t>Web/Backend only</t>
  </si>
  <si>
    <t>Map-based home screen - Pickup location selection - Destination selection</t>
  </si>
  <si>
    <t>Per-km &amp; per-minute rate configuration ( Rule Pricing Engine )</t>
  </si>
  <si>
    <t>The system shall maintain a history of pricing rule changes with effective dates for audit .</t>
  </si>
  <si>
    <t>The system shall allow Riders to add, edit, and remove up to three trusted contacts, and SOS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</si>
</sst>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0"/>
      <name val="Arial"/>
    </font>
  </fonts>
  <fills count="3">
    <fill>
      <patternFill patternType="none"/>
    </fill>
    <fill>
      <patternFill patternType="gray125"/>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2" fillId="0" borderId="0"/>
    <xf numFmtId="0" fontId="2" fillId="0" borderId="0"/>
  </cellStyleXfs>
  <cellXfs count="38">
    <xf numFmtId="0" fontId="0" fillId="0" borderId="0" xfId="0"/>
    <xf numFmtId="0" fontId="1" fillId="0" borderId="0" xfId="0" applyFont="1"/>
    <xf numFmtId="0" fontId="0" fillId="0" borderId="2" xfId="0" applyFont="1" applyBorder="1"/>
    <xf numFmtId="0" fontId="0" fillId="0" borderId="3" xfId="0" applyBorder="1"/>
    <xf numFmtId="0" fontId="0" fillId="0" borderId="4" xfId="0" applyFont="1" applyBorder="1"/>
    <xf numFmtId="0" fontId="0" fillId="0" borderId="5" xfId="0" applyBorder="1"/>
    <xf numFmtId="0" fontId="0" fillId="0" borderId="6" xfId="0" applyFont="1" applyBorder="1"/>
    <xf numFmtId="0" fontId="0" fillId="0" borderId="7" xfId="0" applyBorder="1"/>
    <xf numFmtId="0" fontId="3" fillId="0" borderId="8" xfId="1" applyFont="1" applyBorder="1"/>
    <xf numFmtId="0" fontId="3" fillId="0" borderId="9" xfId="1" applyFont="1" applyBorder="1"/>
    <xf numFmtId="0" fontId="3" fillId="0" borderId="10" xfId="1" applyFont="1" applyBorder="1"/>
    <xf numFmtId="0" fontId="4" fillId="0" borderId="11" xfId="0" applyFont="1" applyBorder="1"/>
    <xf numFmtId="0" fontId="4" fillId="0" borderId="12" xfId="2" applyFont="1" applyBorder="1"/>
    <xf numFmtId="0" fontId="4" fillId="0" borderId="13" xfId="1" applyFont="1" applyBorder="1"/>
    <xf numFmtId="0" fontId="4" fillId="0" borderId="14" xfId="0" applyFont="1" applyBorder="1"/>
    <xf numFmtId="0" fontId="4" fillId="0" borderId="15" xfId="2" applyFont="1" applyBorder="1"/>
    <xf numFmtId="0" fontId="4" fillId="0" borderId="16" xfId="1" applyFont="1" applyBorder="1"/>
    <xf numFmtId="0" fontId="4" fillId="0" borderId="14" xfId="2" applyFont="1" applyBorder="1"/>
    <xf numFmtId="0" fontId="4" fillId="0" borderId="14" xfId="1" applyFont="1" applyBorder="1"/>
    <xf numFmtId="0" fontId="4" fillId="0" borderId="15" xfId="1" applyFont="1" applyBorder="1"/>
    <xf numFmtId="0" fontId="4" fillId="0" borderId="17" xfId="1" applyFont="1" applyBorder="1"/>
    <xf numFmtId="0" fontId="4" fillId="0" borderId="18" xfId="1" applyFont="1" applyBorder="1"/>
    <xf numFmtId="0" fontId="4" fillId="0" borderId="19" xfId="1" applyFont="1" applyBorder="1"/>
    <xf numFmtId="0" fontId="0" fillId="0" borderId="0" xfId="0" applyFont="1"/>
    <xf numFmtId="0" fontId="0" fillId="0" borderId="0" xfId="0" applyFont="1" applyAlignment="1">
      <alignment horizontal="left"/>
    </xf>
    <xf numFmtId="0" fontId="0" fillId="2" borderId="0" xfId="0" applyFill="1"/>
    <xf numFmtId="0" fontId="1" fillId="0" borderId="1" xfId="0" applyFont="1" applyBorder="1" applyAlignment="1">
      <alignment horizontal="center" vertical="top" wrapText="1"/>
    </xf>
    <xf numFmtId="0" fontId="1" fillId="0" borderId="1" xfId="0" applyFont="1" applyBorder="1" applyAlignment="1">
      <alignment wrapText="1"/>
    </xf>
    <xf numFmtId="0" fontId="0" fillId="0" borderId="1" xfId="0" applyBorder="1" applyAlignment="1">
      <alignment wrapText="1"/>
    </xf>
    <xf numFmtId="0" fontId="0" fillId="2" borderId="1" xfId="0" applyFill="1" applyBorder="1" applyAlignment="1">
      <alignment wrapText="1"/>
    </xf>
    <xf numFmtId="0" fontId="5" fillId="0" borderId="1" xfId="0" applyFont="1" applyBorder="1" applyAlignment="1">
      <alignment vertical="top" wrapText="1"/>
    </xf>
    <xf numFmtId="0" fontId="5" fillId="2" borderId="1" xfId="0" applyFont="1" applyFill="1" applyBorder="1" applyAlignment="1">
      <alignment vertical="top"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0" fontId="5" fillId="0" borderId="22" xfId="0" applyFont="1" applyBorder="1" applyAlignment="1">
      <alignment horizontal="center" vertical="top" wrapText="1"/>
    </xf>
    <xf numFmtId="0" fontId="0" fillId="0" borderId="20"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laude\SheDrive\High%20Level%20Estimate\HLE-SheDrive-V0.1%20-%20Mob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atures"/>
      <sheetName val="Estimate Summary"/>
      <sheetName val="Guideline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tabSelected="1" workbookViewId="0">
      <selection activeCell="C5" sqref="C5"/>
    </sheetView>
  </sheetViews>
  <sheetFormatPr defaultRowHeight="14.4" x14ac:dyDescent="0.3"/>
  <cols>
    <col min="1" max="1" width="29.5546875" bestFit="1" customWidth="1"/>
    <col min="2" max="2" width="38.88671875" bestFit="1" customWidth="1"/>
    <col min="3" max="3" width="73.21875" customWidth="1"/>
    <col min="4" max="4" width="10.44140625" bestFit="1" customWidth="1"/>
    <col min="5" max="5" width="14.109375" customWidth="1"/>
    <col min="6" max="6" width="12" bestFit="1" customWidth="1"/>
    <col min="7" max="7" width="9.33203125" bestFit="1" customWidth="1"/>
    <col min="8" max="8" width="8.109375" bestFit="1" customWidth="1"/>
    <col min="9" max="9" width="16.44140625" bestFit="1" customWidth="1"/>
  </cols>
  <sheetData>
    <row r="1" spans="1:9" s="1" customFormat="1" x14ac:dyDescent="0.3">
      <c r="A1" s="26" t="s">
        <v>7</v>
      </c>
      <c r="B1" s="26" t="s">
        <v>0</v>
      </c>
      <c r="C1" s="26" t="s">
        <v>1</v>
      </c>
      <c r="D1" s="27" t="s">
        <v>2</v>
      </c>
      <c r="E1" s="27" t="s">
        <v>3</v>
      </c>
      <c r="F1" s="27" t="s">
        <v>4</v>
      </c>
      <c r="G1" s="27" t="s">
        <v>5</v>
      </c>
      <c r="H1" s="27" t="s">
        <v>6</v>
      </c>
      <c r="I1" s="27" t="s">
        <v>259</v>
      </c>
    </row>
    <row r="2" spans="1:9" ht="26.4" x14ac:dyDescent="0.3">
      <c r="A2" s="30" t="s">
        <v>59</v>
      </c>
      <c r="B2" s="30" t="s">
        <v>69</v>
      </c>
      <c r="C2" s="30" t="s">
        <v>161</v>
      </c>
      <c r="D2" s="28" t="s">
        <v>22</v>
      </c>
      <c r="E2" s="28" t="s">
        <v>19</v>
      </c>
      <c r="F2" s="28">
        <f>VALUE(MID(D2, FIND("(", D2)+1, FIND(")", D2)-FIND("(", D2)-1)) * VALUE(MID(E2, FIND("(", E2)+1, FIND(")", E2)-FIND("(", E2)-1))</f>
        <v>2.2000000000000002</v>
      </c>
      <c r="G2" s="28" t="s">
        <v>9</v>
      </c>
      <c r="H2" s="28"/>
      <c r="I2" s="28" t="s">
        <v>260</v>
      </c>
    </row>
    <row r="3" spans="1:9" ht="28.8" x14ac:dyDescent="0.3">
      <c r="A3" s="30" t="s">
        <v>59</v>
      </c>
      <c r="B3" s="30" t="s">
        <v>70</v>
      </c>
      <c r="C3" s="30" t="s">
        <v>162</v>
      </c>
      <c r="D3" s="28" t="s">
        <v>22</v>
      </c>
      <c r="E3" s="28" t="s">
        <v>18</v>
      </c>
      <c r="F3" s="28">
        <f t="shared" ref="F3:F53" si="0">VALUE(MID(D3, FIND("(", D3)+1, FIND(")", D3)-FIND("(", D3)-1)) * VALUE(MID(E3, FIND("(", E3)+1, FIND(")", E3)-FIND("(", E3)-1))</f>
        <v>2.5</v>
      </c>
      <c r="G3" s="28" t="s">
        <v>9</v>
      </c>
      <c r="H3" s="28"/>
      <c r="I3" s="28" t="s">
        <v>260</v>
      </c>
    </row>
    <row r="4" spans="1:9" ht="26.4" x14ac:dyDescent="0.3">
      <c r="A4" s="30" t="s">
        <v>59</v>
      </c>
      <c r="B4" s="30" t="s">
        <v>71</v>
      </c>
      <c r="C4" s="30" t="s">
        <v>163</v>
      </c>
      <c r="D4" s="28" t="s">
        <v>22</v>
      </c>
      <c r="E4" s="28" t="s">
        <v>17</v>
      </c>
      <c r="F4" s="28">
        <f t="shared" si="0"/>
        <v>2</v>
      </c>
      <c r="G4" s="28" t="s">
        <v>9</v>
      </c>
      <c r="H4" s="28"/>
      <c r="I4" s="28" t="s">
        <v>260</v>
      </c>
    </row>
    <row r="5" spans="1:9" ht="26.4" x14ac:dyDescent="0.3">
      <c r="A5" s="30" t="s">
        <v>59</v>
      </c>
      <c r="B5" s="30" t="s">
        <v>72</v>
      </c>
      <c r="C5" s="30" t="s">
        <v>267</v>
      </c>
      <c r="D5" s="28" t="s">
        <v>23</v>
      </c>
      <c r="E5" s="28" t="s">
        <v>18</v>
      </c>
      <c r="F5" s="28">
        <f t="shared" si="0"/>
        <v>6.25</v>
      </c>
      <c r="G5" s="28" t="s">
        <v>9</v>
      </c>
      <c r="H5" s="28"/>
      <c r="I5" s="28" t="s">
        <v>260</v>
      </c>
    </row>
    <row r="6" spans="1:9" ht="26.4" x14ac:dyDescent="0.3">
      <c r="A6" s="30" t="s">
        <v>59</v>
      </c>
      <c r="B6" s="32" t="s">
        <v>264</v>
      </c>
      <c r="C6" s="30" t="s">
        <v>164</v>
      </c>
      <c r="D6" s="35" t="s">
        <v>24</v>
      </c>
      <c r="E6" s="35" t="s">
        <v>18</v>
      </c>
      <c r="F6" s="35">
        <f t="shared" si="0"/>
        <v>12.5</v>
      </c>
      <c r="G6" s="28" t="s">
        <v>9</v>
      </c>
      <c r="H6" s="28"/>
      <c r="I6" s="28" t="s">
        <v>261</v>
      </c>
    </row>
    <row r="7" spans="1:9" ht="26.4" x14ac:dyDescent="0.3">
      <c r="A7" s="30" t="s">
        <v>59</v>
      </c>
      <c r="B7" s="33"/>
      <c r="C7" s="30" t="s">
        <v>165</v>
      </c>
      <c r="D7" s="36"/>
      <c r="E7" s="36"/>
      <c r="F7" s="36"/>
      <c r="G7" s="28" t="s">
        <v>9</v>
      </c>
      <c r="H7" s="28"/>
      <c r="I7" s="28" t="s">
        <v>260</v>
      </c>
    </row>
    <row r="8" spans="1:9" ht="26.4" x14ac:dyDescent="0.3">
      <c r="A8" s="30" t="s">
        <v>59</v>
      </c>
      <c r="B8" s="34"/>
      <c r="C8" s="30" t="s">
        <v>166</v>
      </c>
      <c r="D8" s="37"/>
      <c r="E8" s="37"/>
      <c r="F8" s="37"/>
      <c r="G8" s="28" t="s">
        <v>9</v>
      </c>
      <c r="H8" s="28"/>
      <c r="I8" s="28" t="s">
        <v>260</v>
      </c>
    </row>
    <row r="9" spans="1:9" ht="26.4" x14ac:dyDescent="0.3">
      <c r="A9" s="30" t="s">
        <v>59</v>
      </c>
      <c r="B9" s="30" t="s">
        <v>73</v>
      </c>
      <c r="C9" s="30" t="s">
        <v>167</v>
      </c>
      <c r="D9" s="28" t="s">
        <v>22</v>
      </c>
      <c r="E9" s="28" t="s">
        <v>18</v>
      </c>
      <c r="F9" s="28">
        <f t="shared" si="0"/>
        <v>2.5</v>
      </c>
      <c r="G9" s="28" t="s">
        <v>9</v>
      </c>
      <c r="H9" s="28"/>
      <c r="I9" s="28" t="s">
        <v>260</v>
      </c>
    </row>
    <row r="10" spans="1:9" s="25" customFormat="1" ht="26.4" x14ac:dyDescent="0.3">
      <c r="A10" s="31" t="s">
        <v>59</v>
      </c>
      <c r="B10" s="31" t="s">
        <v>74</v>
      </c>
      <c r="C10" s="31" t="s">
        <v>168</v>
      </c>
      <c r="D10" s="29" t="s">
        <v>22</v>
      </c>
      <c r="E10" s="29" t="s">
        <v>17</v>
      </c>
      <c r="F10" s="29">
        <f t="shared" si="0"/>
        <v>2</v>
      </c>
      <c r="G10" s="29" t="s">
        <v>9</v>
      </c>
      <c r="H10" s="29"/>
      <c r="I10" s="29" t="s">
        <v>260</v>
      </c>
    </row>
    <row r="11" spans="1:9" ht="26.4" x14ac:dyDescent="0.3">
      <c r="A11" s="30" t="s">
        <v>59</v>
      </c>
      <c r="B11" s="30" t="s">
        <v>75</v>
      </c>
      <c r="C11" s="30" t="s">
        <v>169</v>
      </c>
      <c r="D11" s="28" t="s">
        <v>22</v>
      </c>
      <c r="E11" s="28" t="s">
        <v>17</v>
      </c>
      <c r="F11" s="28">
        <f>VALUE(MID(D11, FIND("(", D11)+1, FIND(")", D11)-FIND("(", D11)-1)) * VALUE(MID(E11, FIND("(", E11)+1, FIND(")", E11)-FIND("(", E11)-1))</f>
        <v>2</v>
      </c>
      <c r="G11" s="28" t="s">
        <v>9</v>
      </c>
      <c r="H11" s="28"/>
      <c r="I11" s="28" t="s">
        <v>260</v>
      </c>
    </row>
    <row r="12" spans="1:9" ht="26.4" x14ac:dyDescent="0.3">
      <c r="A12" s="30" t="s">
        <v>59</v>
      </c>
      <c r="B12" s="30" t="s">
        <v>76</v>
      </c>
      <c r="C12" s="30" t="s">
        <v>170</v>
      </c>
      <c r="D12" s="28" t="s">
        <v>22</v>
      </c>
      <c r="E12" s="28" t="s">
        <v>17</v>
      </c>
      <c r="F12" s="28">
        <f>VALUE(MID(D12, FIND("(", D12)+1, FIND(")", D12)-FIND("(", D12)-1)) * VALUE(MID(E12, FIND("(", E12)+1, FIND(")", E12)-FIND("(", E12)-1))</f>
        <v>2</v>
      </c>
      <c r="G12" s="28" t="s">
        <v>9</v>
      </c>
      <c r="H12" s="28"/>
      <c r="I12" s="28" t="s">
        <v>260</v>
      </c>
    </row>
    <row r="13" spans="1:9" ht="26.4" x14ac:dyDescent="0.3">
      <c r="A13" s="30" t="s">
        <v>59</v>
      </c>
      <c r="B13" s="30" t="s">
        <v>77</v>
      </c>
      <c r="C13" s="30" t="s">
        <v>171</v>
      </c>
      <c r="D13" s="28" t="s">
        <v>22</v>
      </c>
      <c r="E13" s="28" t="s">
        <v>17</v>
      </c>
      <c r="F13" s="28">
        <f t="shared" si="0"/>
        <v>2</v>
      </c>
      <c r="G13" s="28" t="s">
        <v>9</v>
      </c>
      <c r="H13" s="28"/>
      <c r="I13" s="28" t="s">
        <v>260</v>
      </c>
    </row>
    <row r="14" spans="1:9" ht="26.4" x14ac:dyDescent="0.3">
      <c r="A14" s="30" t="s">
        <v>59</v>
      </c>
      <c r="B14" s="30" t="s">
        <v>78</v>
      </c>
      <c r="C14" s="30" t="s">
        <v>172</v>
      </c>
      <c r="D14" s="28" t="s">
        <v>23</v>
      </c>
      <c r="E14" s="28" t="s">
        <v>20</v>
      </c>
      <c r="F14" s="28">
        <f t="shared" si="0"/>
        <v>7.5</v>
      </c>
      <c r="G14" s="28" t="s">
        <v>9</v>
      </c>
      <c r="H14" s="28"/>
      <c r="I14" s="28" t="s">
        <v>260</v>
      </c>
    </row>
    <row r="15" spans="1:9" ht="26.4" x14ac:dyDescent="0.3">
      <c r="A15" s="30" t="s">
        <v>59</v>
      </c>
      <c r="B15" s="30" t="s">
        <v>79</v>
      </c>
      <c r="C15" s="30" t="s">
        <v>173</v>
      </c>
      <c r="D15" s="28" t="s">
        <v>23</v>
      </c>
      <c r="E15" s="28" t="s">
        <v>20</v>
      </c>
      <c r="F15" s="28">
        <f t="shared" si="0"/>
        <v>7.5</v>
      </c>
      <c r="G15" s="28" t="s">
        <v>9</v>
      </c>
      <c r="H15" s="28"/>
      <c r="I15" s="28" t="s">
        <v>260</v>
      </c>
    </row>
    <row r="16" spans="1:9" ht="26.4" x14ac:dyDescent="0.3">
      <c r="A16" s="30" t="s">
        <v>59</v>
      </c>
      <c r="B16" s="30" t="s">
        <v>80</v>
      </c>
      <c r="C16" s="30" t="s">
        <v>174</v>
      </c>
      <c r="D16" s="28" t="s">
        <v>23</v>
      </c>
      <c r="E16" s="28" t="s">
        <v>20</v>
      </c>
      <c r="F16" s="28">
        <f t="shared" si="0"/>
        <v>7.5</v>
      </c>
      <c r="G16" s="28" t="s">
        <v>9</v>
      </c>
      <c r="H16" s="28"/>
      <c r="I16" s="28" t="s">
        <v>260</v>
      </c>
    </row>
    <row r="17" spans="1:9" ht="39.6" x14ac:dyDescent="0.3">
      <c r="A17" s="30" t="s">
        <v>59</v>
      </c>
      <c r="B17" s="30" t="s">
        <v>82</v>
      </c>
      <c r="C17" s="30" t="s">
        <v>175</v>
      </c>
      <c r="D17" s="28" t="s">
        <v>22</v>
      </c>
      <c r="E17" s="28" t="s">
        <v>19</v>
      </c>
      <c r="F17" s="28">
        <f t="shared" si="0"/>
        <v>2.2000000000000002</v>
      </c>
      <c r="G17" s="28" t="s">
        <v>9</v>
      </c>
      <c r="H17" s="28"/>
      <c r="I17" s="28" t="s">
        <v>260</v>
      </c>
    </row>
    <row r="18" spans="1:9" ht="26.4" x14ac:dyDescent="0.3">
      <c r="A18" s="30" t="s">
        <v>59</v>
      </c>
      <c r="B18" s="30" t="s">
        <v>83</v>
      </c>
      <c r="C18" s="30" t="s">
        <v>176</v>
      </c>
      <c r="D18" s="28" t="s">
        <v>23</v>
      </c>
      <c r="E18" s="28" t="s">
        <v>18</v>
      </c>
      <c r="F18" s="28">
        <f t="shared" si="0"/>
        <v>6.25</v>
      </c>
      <c r="G18" s="28" t="s">
        <v>9</v>
      </c>
      <c r="H18" s="28"/>
      <c r="I18" s="28" t="s">
        <v>260</v>
      </c>
    </row>
    <row r="19" spans="1:9" s="25" customFormat="1" ht="26.4" x14ac:dyDescent="0.3">
      <c r="A19" s="31" t="s">
        <v>59</v>
      </c>
      <c r="B19" s="31" t="s">
        <v>84</v>
      </c>
      <c r="C19" s="31" t="s">
        <v>177</v>
      </c>
      <c r="D19" s="29" t="s">
        <v>22</v>
      </c>
      <c r="E19" s="29" t="s">
        <v>17</v>
      </c>
      <c r="F19" s="29">
        <f t="shared" si="0"/>
        <v>2</v>
      </c>
      <c r="G19" s="29" t="s">
        <v>9</v>
      </c>
      <c r="H19" s="29"/>
      <c r="I19" s="29" t="s">
        <v>260</v>
      </c>
    </row>
    <row r="20" spans="1:9" ht="26.4" x14ac:dyDescent="0.3">
      <c r="A20" s="30" t="s">
        <v>59</v>
      </c>
      <c r="B20" s="30" t="s">
        <v>85</v>
      </c>
      <c r="C20" s="30" t="s">
        <v>178</v>
      </c>
      <c r="D20" s="28" t="s">
        <v>22</v>
      </c>
      <c r="E20" s="28" t="s">
        <v>17</v>
      </c>
      <c r="F20" s="28">
        <f t="shared" si="0"/>
        <v>2</v>
      </c>
      <c r="G20" s="28" t="s">
        <v>9</v>
      </c>
      <c r="H20" s="28"/>
      <c r="I20" s="28" t="s">
        <v>260</v>
      </c>
    </row>
    <row r="21" spans="1:9" ht="26.4" x14ac:dyDescent="0.3">
      <c r="A21" s="30" t="s">
        <v>59</v>
      </c>
      <c r="B21" s="30" t="s">
        <v>86</v>
      </c>
      <c r="C21" s="30" t="s">
        <v>179</v>
      </c>
      <c r="D21" s="28" t="s">
        <v>22</v>
      </c>
      <c r="E21" s="28" t="s">
        <v>17</v>
      </c>
      <c r="F21" s="28">
        <f t="shared" si="0"/>
        <v>2</v>
      </c>
      <c r="G21" s="28" t="s">
        <v>9</v>
      </c>
      <c r="H21" s="28"/>
      <c r="I21" s="28" t="s">
        <v>260</v>
      </c>
    </row>
    <row r="22" spans="1:9" ht="26.4" x14ac:dyDescent="0.3">
      <c r="A22" s="30" t="s">
        <v>59</v>
      </c>
      <c r="B22" s="30" t="s">
        <v>87</v>
      </c>
      <c r="C22" s="30" t="s">
        <v>180</v>
      </c>
      <c r="D22" s="28" t="s">
        <v>22</v>
      </c>
      <c r="E22" s="28" t="s">
        <v>17</v>
      </c>
      <c r="F22" s="28">
        <f>VALUE(MID(D22, FIND("(", D22)+1, FIND(")", D22)-FIND("(", D22)-1)) * VALUE(MID(E22, FIND("(", E22)+1, FIND(")", E22)-FIND("(", E22)-1))</f>
        <v>2</v>
      </c>
      <c r="G22" s="28" t="s">
        <v>9</v>
      </c>
      <c r="H22" s="28"/>
      <c r="I22" s="28" t="s">
        <v>260</v>
      </c>
    </row>
    <row r="23" spans="1:9" s="25" customFormat="1" ht="26.4" x14ac:dyDescent="0.3">
      <c r="A23" s="30" t="s">
        <v>59</v>
      </c>
      <c r="B23" s="30" t="s">
        <v>88</v>
      </c>
      <c r="C23" s="30" t="s">
        <v>181</v>
      </c>
      <c r="D23" s="29" t="s">
        <v>22</v>
      </c>
      <c r="E23" s="29" t="s">
        <v>17</v>
      </c>
      <c r="F23" s="29">
        <f t="shared" si="0"/>
        <v>2</v>
      </c>
      <c r="G23" s="29" t="s">
        <v>9</v>
      </c>
      <c r="H23" s="29"/>
      <c r="I23" s="29" t="s">
        <v>260</v>
      </c>
    </row>
    <row r="24" spans="1:9" ht="26.4" x14ac:dyDescent="0.3">
      <c r="A24" s="30" t="s">
        <v>59</v>
      </c>
      <c r="B24" s="30" t="s">
        <v>89</v>
      </c>
      <c r="C24" s="30" t="s">
        <v>182</v>
      </c>
      <c r="D24" s="28" t="s">
        <v>23</v>
      </c>
      <c r="E24" s="28" t="s">
        <v>17</v>
      </c>
      <c r="F24" s="28">
        <f t="shared" si="0"/>
        <v>5</v>
      </c>
      <c r="G24" s="28" t="s">
        <v>9</v>
      </c>
      <c r="H24" s="28"/>
      <c r="I24" s="28" t="s">
        <v>262</v>
      </c>
    </row>
    <row r="25" spans="1:9" ht="26.4" x14ac:dyDescent="0.3">
      <c r="A25" s="30" t="s">
        <v>59</v>
      </c>
      <c r="B25" s="30" t="s">
        <v>90</v>
      </c>
      <c r="C25" s="30" t="s">
        <v>183</v>
      </c>
      <c r="D25" s="28" t="s">
        <v>22</v>
      </c>
      <c r="E25" s="28" t="s">
        <v>17</v>
      </c>
      <c r="F25" s="28">
        <f t="shared" si="0"/>
        <v>2</v>
      </c>
      <c r="G25" s="28" t="s">
        <v>9</v>
      </c>
      <c r="H25" s="28"/>
      <c r="I25" s="28" t="s">
        <v>260</v>
      </c>
    </row>
    <row r="26" spans="1:9" ht="26.4" x14ac:dyDescent="0.3">
      <c r="A26" s="30" t="s">
        <v>60</v>
      </c>
      <c r="B26" s="30" t="s">
        <v>69</v>
      </c>
      <c r="C26" s="30" t="s">
        <v>184</v>
      </c>
      <c r="D26" s="28" t="s">
        <v>22</v>
      </c>
      <c r="E26" s="28" t="s">
        <v>17</v>
      </c>
      <c r="F26" s="28">
        <f t="shared" si="0"/>
        <v>2</v>
      </c>
      <c r="G26" s="28" t="s">
        <v>9</v>
      </c>
      <c r="H26" s="28"/>
      <c r="I26" s="28" t="s">
        <v>260</v>
      </c>
    </row>
    <row r="27" spans="1:9" s="25" customFormat="1" ht="26.4" x14ac:dyDescent="0.3">
      <c r="A27" s="30" t="s">
        <v>60</v>
      </c>
      <c r="B27" s="30" t="s">
        <v>91</v>
      </c>
      <c r="C27" s="30" t="s">
        <v>185</v>
      </c>
      <c r="D27" s="29" t="s">
        <v>22</v>
      </c>
      <c r="E27" s="29" t="s">
        <v>18</v>
      </c>
      <c r="F27" s="29">
        <f t="shared" si="0"/>
        <v>2.5</v>
      </c>
      <c r="G27" s="29" t="s">
        <v>9</v>
      </c>
      <c r="H27" s="29"/>
      <c r="I27" s="29" t="s">
        <v>260</v>
      </c>
    </row>
    <row r="28" spans="1:9" ht="26.4" x14ac:dyDescent="0.3">
      <c r="A28" s="30" t="s">
        <v>60</v>
      </c>
      <c r="B28" s="30" t="s">
        <v>71</v>
      </c>
      <c r="C28" s="30" t="s">
        <v>186</v>
      </c>
      <c r="D28" s="28" t="s">
        <v>22</v>
      </c>
      <c r="E28" s="28" t="s">
        <v>17</v>
      </c>
      <c r="F28" s="28">
        <f t="shared" si="0"/>
        <v>2</v>
      </c>
      <c r="G28" s="28" t="s">
        <v>9</v>
      </c>
      <c r="H28" s="28"/>
      <c r="I28" s="28" t="s">
        <v>260</v>
      </c>
    </row>
    <row r="29" spans="1:9" ht="39.6" x14ac:dyDescent="0.3">
      <c r="A29" s="30" t="s">
        <v>60</v>
      </c>
      <c r="B29" s="30" t="s">
        <v>92</v>
      </c>
      <c r="C29" s="30" t="s">
        <v>187</v>
      </c>
      <c r="D29" s="28" t="s">
        <v>22</v>
      </c>
      <c r="E29" s="28" t="s">
        <v>17</v>
      </c>
      <c r="F29" s="28">
        <f t="shared" si="0"/>
        <v>2</v>
      </c>
      <c r="G29" s="28" t="s">
        <v>9</v>
      </c>
      <c r="H29" s="28"/>
      <c r="I29" s="28" t="s">
        <v>260</v>
      </c>
    </row>
    <row r="30" spans="1:9" ht="39.6" x14ac:dyDescent="0.3">
      <c r="A30" s="30" t="s">
        <v>60</v>
      </c>
      <c r="B30" s="30" t="s">
        <v>93</v>
      </c>
      <c r="C30" s="30" t="s">
        <v>188</v>
      </c>
      <c r="D30" s="28" t="s">
        <v>22</v>
      </c>
      <c r="E30" s="28" t="s">
        <v>17</v>
      </c>
      <c r="F30" s="28">
        <f t="shared" si="0"/>
        <v>2</v>
      </c>
      <c r="G30" s="28" t="s">
        <v>9</v>
      </c>
      <c r="H30" s="28"/>
      <c r="I30" s="28" t="s">
        <v>260</v>
      </c>
    </row>
    <row r="31" spans="1:9" ht="26.4" x14ac:dyDescent="0.3">
      <c r="A31" s="30" t="s">
        <v>60</v>
      </c>
      <c r="B31" s="30" t="s">
        <v>94</v>
      </c>
      <c r="C31" s="30" t="s">
        <v>189</v>
      </c>
      <c r="D31" s="28" t="s">
        <v>22</v>
      </c>
      <c r="E31" s="28" t="s">
        <v>17</v>
      </c>
      <c r="F31" s="28">
        <f t="shared" si="0"/>
        <v>2</v>
      </c>
      <c r="G31" s="28" t="s">
        <v>9</v>
      </c>
      <c r="H31" s="28"/>
      <c r="I31" s="28" t="s">
        <v>260</v>
      </c>
    </row>
    <row r="32" spans="1:9" ht="26.4" x14ac:dyDescent="0.3">
      <c r="A32" s="30" t="s">
        <v>60</v>
      </c>
      <c r="B32" s="30" t="s">
        <v>95</v>
      </c>
      <c r="C32" s="30" t="s">
        <v>190</v>
      </c>
      <c r="D32" s="28" t="s">
        <v>22</v>
      </c>
      <c r="E32" s="28" t="s">
        <v>17</v>
      </c>
      <c r="F32" s="28">
        <f t="shared" si="0"/>
        <v>2</v>
      </c>
      <c r="G32" s="28" t="s">
        <v>9</v>
      </c>
      <c r="H32" s="28"/>
      <c r="I32" s="28" t="s">
        <v>260</v>
      </c>
    </row>
    <row r="33" spans="1:9" ht="26.4" x14ac:dyDescent="0.3">
      <c r="A33" s="30" t="s">
        <v>60</v>
      </c>
      <c r="B33" s="30" t="s">
        <v>96</v>
      </c>
      <c r="C33" s="30" t="s">
        <v>191</v>
      </c>
      <c r="D33" s="28" t="s">
        <v>22</v>
      </c>
      <c r="E33" s="28" t="s">
        <v>17</v>
      </c>
      <c r="F33" s="28">
        <f t="shared" si="0"/>
        <v>2</v>
      </c>
      <c r="G33" s="28" t="s">
        <v>9</v>
      </c>
      <c r="H33" s="28"/>
      <c r="I33" s="28" t="s">
        <v>260</v>
      </c>
    </row>
    <row r="34" spans="1:9" ht="26.4" x14ac:dyDescent="0.3">
      <c r="A34" s="30" t="s">
        <v>60</v>
      </c>
      <c r="B34" s="30" t="s">
        <v>97</v>
      </c>
      <c r="C34" s="30" t="s">
        <v>192</v>
      </c>
      <c r="D34" s="28" t="s">
        <v>22</v>
      </c>
      <c r="E34" s="28" t="s">
        <v>17</v>
      </c>
      <c r="F34" s="28">
        <f t="shared" si="0"/>
        <v>2</v>
      </c>
      <c r="G34" s="28" t="s">
        <v>9</v>
      </c>
      <c r="H34" s="28"/>
      <c r="I34" s="28" t="s">
        <v>260</v>
      </c>
    </row>
    <row r="35" spans="1:9" ht="26.4" x14ac:dyDescent="0.3">
      <c r="A35" s="30" t="s">
        <v>60</v>
      </c>
      <c r="B35" s="30" t="s">
        <v>98</v>
      </c>
      <c r="C35" s="30" t="s">
        <v>193</v>
      </c>
      <c r="D35" s="28" t="s">
        <v>23</v>
      </c>
      <c r="E35" s="28" t="s">
        <v>18</v>
      </c>
      <c r="F35" s="28">
        <f t="shared" si="0"/>
        <v>6.25</v>
      </c>
      <c r="G35" s="28" t="s">
        <v>9</v>
      </c>
      <c r="H35" s="28"/>
      <c r="I35" s="28" t="s">
        <v>260</v>
      </c>
    </row>
    <row r="36" spans="1:9" ht="39.6" x14ac:dyDescent="0.3">
      <c r="A36" s="30" t="s">
        <v>60</v>
      </c>
      <c r="B36" s="30" t="s">
        <v>99</v>
      </c>
      <c r="C36" s="30" t="s">
        <v>194</v>
      </c>
      <c r="D36" s="28" t="s">
        <v>23</v>
      </c>
      <c r="E36" s="28" t="s">
        <v>18</v>
      </c>
      <c r="F36" s="28">
        <f t="shared" si="0"/>
        <v>6.25</v>
      </c>
      <c r="G36" s="28" t="s">
        <v>9</v>
      </c>
      <c r="H36" s="28"/>
      <c r="I36" s="28" t="s">
        <v>260</v>
      </c>
    </row>
    <row r="37" spans="1:9" ht="26.4" x14ac:dyDescent="0.3">
      <c r="A37" s="30" t="s">
        <v>60</v>
      </c>
      <c r="B37" s="30" t="s">
        <v>100</v>
      </c>
      <c r="C37" s="30" t="s">
        <v>195</v>
      </c>
      <c r="D37" s="28" t="s">
        <v>23</v>
      </c>
      <c r="E37" s="28" t="s">
        <v>18</v>
      </c>
      <c r="F37" s="28">
        <f t="shared" si="0"/>
        <v>6.25</v>
      </c>
      <c r="G37" s="28" t="s">
        <v>9</v>
      </c>
      <c r="H37" s="28"/>
      <c r="I37" s="28" t="s">
        <v>260</v>
      </c>
    </row>
    <row r="38" spans="1:9" ht="26.4" x14ac:dyDescent="0.3">
      <c r="A38" s="30" t="s">
        <v>60</v>
      </c>
      <c r="B38" s="30" t="s">
        <v>101</v>
      </c>
      <c r="C38" s="30" t="s">
        <v>196</v>
      </c>
      <c r="D38" s="28" t="s">
        <v>53</v>
      </c>
      <c r="E38" s="28" t="s">
        <v>17</v>
      </c>
      <c r="F38" s="28">
        <f t="shared" si="0"/>
        <v>0</v>
      </c>
      <c r="G38" s="28" t="s">
        <v>9</v>
      </c>
      <c r="H38" s="28"/>
      <c r="I38" s="28" t="s">
        <v>262</v>
      </c>
    </row>
    <row r="39" spans="1:9" ht="26.4" x14ac:dyDescent="0.3">
      <c r="A39" s="30" t="s">
        <v>60</v>
      </c>
      <c r="B39" s="30" t="s">
        <v>102</v>
      </c>
      <c r="C39" s="30" t="s">
        <v>197</v>
      </c>
      <c r="D39" s="28" t="s">
        <v>23</v>
      </c>
      <c r="E39" s="28" t="s">
        <v>20</v>
      </c>
      <c r="F39" s="28">
        <f t="shared" si="0"/>
        <v>7.5</v>
      </c>
      <c r="G39" s="28" t="s">
        <v>9</v>
      </c>
      <c r="H39" s="28"/>
      <c r="I39" s="28" t="s">
        <v>260</v>
      </c>
    </row>
    <row r="40" spans="1:9" ht="26.4" x14ac:dyDescent="0.3">
      <c r="A40" s="30" t="s">
        <v>60</v>
      </c>
      <c r="B40" s="30" t="s">
        <v>103</v>
      </c>
      <c r="C40" s="30" t="s">
        <v>198</v>
      </c>
      <c r="D40" s="28" t="s">
        <v>22</v>
      </c>
      <c r="E40" s="28" t="s">
        <v>17</v>
      </c>
      <c r="F40" s="28">
        <f t="shared" si="0"/>
        <v>2</v>
      </c>
      <c r="G40" s="28" t="s">
        <v>9</v>
      </c>
      <c r="H40" s="28"/>
      <c r="I40" s="28" t="s">
        <v>260</v>
      </c>
    </row>
    <row r="41" spans="1:9" ht="26.4" x14ac:dyDescent="0.3">
      <c r="A41" s="30" t="s">
        <v>60</v>
      </c>
      <c r="B41" s="30" t="s">
        <v>104</v>
      </c>
      <c r="C41" s="30" t="s">
        <v>199</v>
      </c>
      <c r="D41" s="28" t="s">
        <v>53</v>
      </c>
      <c r="E41" s="28" t="s">
        <v>17</v>
      </c>
      <c r="F41" s="28">
        <f t="shared" si="0"/>
        <v>0</v>
      </c>
      <c r="G41" s="28" t="s">
        <v>9</v>
      </c>
      <c r="H41" s="28"/>
      <c r="I41" s="28" t="s">
        <v>262</v>
      </c>
    </row>
    <row r="42" spans="1:9" ht="26.4" x14ac:dyDescent="0.3">
      <c r="A42" s="30" t="s">
        <v>60</v>
      </c>
      <c r="B42" s="30" t="s">
        <v>105</v>
      </c>
      <c r="C42" s="30" t="s">
        <v>200</v>
      </c>
      <c r="D42" s="28" t="s">
        <v>23</v>
      </c>
      <c r="E42" s="28" t="s">
        <v>18</v>
      </c>
      <c r="F42" s="28">
        <f t="shared" si="0"/>
        <v>6.25</v>
      </c>
      <c r="G42" s="28" t="s">
        <v>9</v>
      </c>
      <c r="H42" s="28"/>
      <c r="I42" s="28" t="s">
        <v>260</v>
      </c>
    </row>
    <row r="43" spans="1:9" ht="39.6" x14ac:dyDescent="0.3">
      <c r="A43" s="30" t="s">
        <v>60</v>
      </c>
      <c r="B43" s="30" t="s">
        <v>82</v>
      </c>
      <c r="C43" s="30" t="s">
        <v>201</v>
      </c>
      <c r="D43" s="28" t="s">
        <v>23</v>
      </c>
      <c r="E43" s="28" t="s">
        <v>19</v>
      </c>
      <c r="F43" s="28">
        <f t="shared" si="0"/>
        <v>5.5</v>
      </c>
      <c r="G43" s="28" t="s">
        <v>9</v>
      </c>
      <c r="H43" s="28"/>
      <c r="I43" s="28" t="s">
        <v>260</v>
      </c>
    </row>
    <row r="44" spans="1:9" ht="26.4" x14ac:dyDescent="0.3">
      <c r="A44" s="30" t="s">
        <v>60</v>
      </c>
      <c r="B44" s="30" t="s">
        <v>106</v>
      </c>
      <c r="C44" s="30" t="s">
        <v>202</v>
      </c>
      <c r="D44" s="28" t="s">
        <v>22</v>
      </c>
      <c r="E44" s="28" t="s">
        <v>17</v>
      </c>
      <c r="F44" s="28">
        <f t="shared" si="0"/>
        <v>2</v>
      </c>
      <c r="G44" s="28" t="s">
        <v>9</v>
      </c>
      <c r="H44" s="28"/>
      <c r="I44" s="28" t="s">
        <v>260</v>
      </c>
    </row>
    <row r="45" spans="1:9" ht="26.4" x14ac:dyDescent="0.3">
      <c r="A45" s="30" t="s">
        <v>60</v>
      </c>
      <c r="B45" s="30" t="s">
        <v>107</v>
      </c>
      <c r="C45" s="30" t="s">
        <v>203</v>
      </c>
      <c r="D45" s="28" t="s">
        <v>22</v>
      </c>
      <c r="E45" s="28" t="s">
        <v>20</v>
      </c>
      <c r="F45" s="28">
        <f t="shared" si="0"/>
        <v>3</v>
      </c>
      <c r="G45" s="28" t="s">
        <v>9</v>
      </c>
      <c r="H45" s="28"/>
      <c r="I45" s="28" t="s">
        <v>260</v>
      </c>
    </row>
    <row r="46" spans="1:9" ht="26.4" x14ac:dyDescent="0.3">
      <c r="A46" s="30" t="s">
        <v>60</v>
      </c>
      <c r="B46" s="30" t="s">
        <v>108</v>
      </c>
      <c r="C46" s="30" t="s">
        <v>204</v>
      </c>
      <c r="D46" s="28" t="s">
        <v>22</v>
      </c>
      <c r="E46" s="28" t="s">
        <v>17</v>
      </c>
      <c r="F46" s="28">
        <f t="shared" si="0"/>
        <v>2</v>
      </c>
      <c r="G46" s="28" t="s">
        <v>9</v>
      </c>
      <c r="H46" s="28"/>
      <c r="I46" s="28" t="s">
        <v>260</v>
      </c>
    </row>
    <row r="47" spans="1:9" ht="26.4" x14ac:dyDescent="0.3">
      <c r="A47" s="30" t="s">
        <v>60</v>
      </c>
      <c r="B47" s="30" t="s">
        <v>109</v>
      </c>
      <c r="C47" s="30" t="s">
        <v>205</v>
      </c>
      <c r="D47" s="28" t="s">
        <v>22</v>
      </c>
      <c r="E47" s="28" t="s">
        <v>17</v>
      </c>
      <c r="F47" s="28">
        <f t="shared" si="0"/>
        <v>2</v>
      </c>
      <c r="G47" s="28" t="s">
        <v>9</v>
      </c>
      <c r="H47" s="28"/>
      <c r="I47" s="28" t="s">
        <v>260</v>
      </c>
    </row>
    <row r="48" spans="1:9" ht="26.4" x14ac:dyDescent="0.3">
      <c r="A48" s="30" t="s">
        <v>60</v>
      </c>
      <c r="B48" s="30" t="s">
        <v>81</v>
      </c>
      <c r="C48" s="30" t="s">
        <v>206</v>
      </c>
      <c r="D48" s="28" t="s">
        <v>22</v>
      </c>
      <c r="E48" s="28" t="s">
        <v>17</v>
      </c>
      <c r="F48" s="28">
        <f t="shared" si="0"/>
        <v>2</v>
      </c>
      <c r="G48" s="28" t="s">
        <v>9</v>
      </c>
      <c r="H48" s="28"/>
      <c r="I48" s="28" t="s">
        <v>260</v>
      </c>
    </row>
    <row r="49" spans="1:9" ht="26.4" x14ac:dyDescent="0.3">
      <c r="A49" s="30" t="s">
        <v>60</v>
      </c>
      <c r="B49" s="30" t="s">
        <v>110</v>
      </c>
      <c r="C49" s="30" t="s">
        <v>207</v>
      </c>
      <c r="D49" s="28" t="s">
        <v>23</v>
      </c>
      <c r="E49" s="28" t="s">
        <v>17</v>
      </c>
      <c r="F49" s="28">
        <f t="shared" si="0"/>
        <v>5</v>
      </c>
      <c r="G49" s="28" t="s">
        <v>9</v>
      </c>
      <c r="H49" s="28"/>
      <c r="I49" s="28" t="s">
        <v>260</v>
      </c>
    </row>
    <row r="50" spans="1:9" ht="26.4" x14ac:dyDescent="0.3">
      <c r="A50" s="30" t="s">
        <v>60</v>
      </c>
      <c r="B50" s="30" t="s">
        <v>90</v>
      </c>
      <c r="C50" s="30" t="s">
        <v>208</v>
      </c>
      <c r="D50" s="28" t="s">
        <v>23</v>
      </c>
      <c r="E50" s="28" t="s">
        <v>17</v>
      </c>
      <c r="F50" s="28">
        <f t="shared" si="0"/>
        <v>5</v>
      </c>
      <c r="G50" s="28" t="s">
        <v>9</v>
      </c>
      <c r="H50" s="28"/>
      <c r="I50" s="28" t="s">
        <v>260</v>
      </c>
    </row>
    <row r="51" spans="1:9" ht="26.4" x14ac:dyDescent="0.3">
      <c r="A51" s="30" t="s">
        <v>60</v>
      </c>
      <c r="B51" s="30" t="s">
        <v>111</v>
      </c>
      <c r="C51" s="30" t="s">
        <v>209</v>
      </c>
      <c r="D51" s="28" t="s">
        <v>23</v>
      </c>
      <c r="E51" s="28" t="s">
        <v>17</v>
      </c>
      <c r="F51" s="28">
        <f t="shared" si="0"/>
        <v>5</v>
      </c>
      <c r="G51" s="28" t="s">
        <v>9</v>
      </c>
      <c r="H51" s="28"/>
      <c r="I51" s="28" t="s">
        <v>262</v>
      </c>
    </row>
    <row r="52" spans="1:9" ht="52.8" x14ac:dyDescent="0.3">
      <c r="A52" s="30" t="s">
        <v>60</v>
      </c>
      <c r="B52" s="30" t="s">
        <v>112</v>
      </c>
      <c r="C52" s="30" t="s">
        <v>210</v>
      </c>
      <c r="D52" s="28" t="s">
        <v>22</v>
      </c>
      <c r="E52" s="28" t="s">
        <v>17</v>
      </c>
      <c r="F52" s="28">
        <f t="shared" si="0"/>
        <v>2</v>
      </c>
      <c r="G52" s="28" t="s">
        <v>9</v>
      </c>
      <c r="H52" s="28"/>
      <c r="I52" s="28" t="s">
        <v>260</v>
      </c>
    </row>
    <row r="53" spans="1:9" ht="26.4" x14ac:dyDescent="0.3">
      <c r="A53" s="30" t="s">
        <v>61</v>
      </c>
      <c r="B53" s="30" t="s">
        <v>113</v>
      </c>
      <c r="C53" s="30" t="s">
        <v>211</v>
      </c>
      <c r="D53" s="28" t="s">
        <v>22</v>
      </c>
      <c r="E53" s="28" t="s">
        <v>17</v>
      </c>
      <c r="F53" s="28">
        <f t="shared" si="0"/>
        <v>2</v>
      </c>
      <c r="G53" s="28" t="s">
        <v>9</v>
      </c>
      <c r="H53" s="28"/>
      <c r="I53" s="28" t="s">
        <v>263</v>
      </c>
    </row>
    <row r="54" spans="1:9" ht="39.6" x14ac:dyDescent="0.3">
      <c r="A54" s="30" t="s">
        <v>61</v>
      </c>
      <c r="B54" s="30" t="s">
        <v>114</v>
      </c>
      <c r="C54" s="30" t="s">
        <v>212</v>
      </c>
      <c r="D54" s="28" t="s">
        <v>23</v>
      </c>
      <c r="E54" s="28" t="s">
        <v>17</v>
      </c>
      <c r="F54" s="28">
        <f t="shared" ref="F54:F56" si="1">VALUE(MID(D54, FIND("(", D54)+1, FIND(")", D54)-FIND("(", D54)-1)) * VALUE(MID(E54, FIND("(", E54)+1, FIND(")", E54)-FIND("(", E54)-1))</f>
        <v>5</v>
      </c>
      <c r="G54" s="28" t="s">
        <v>9</v>
      </c>
      <c r="H54" s="28"/>
      <c r="I54" s="28" t="s">
        <v>263</v>
      </c>
    </row>
    <row r="55" spans="1:9" ht="39.6" x14ac:dyDescent="0.3">
      <c r="A55" s="30" t="s">
        <v>61</v>
      </c>
      <c r="B55" s="30" t="s">
        <v>115</v>
      </c>
      <c r="C55" s="30" t="s">
        <v>213</v>
      </c>
      <c r="D55" s="28" t="s">
        <v>25</v>
      </c>
      <c r="E55" s="28" t="s">
        <v>20</v>
      </c>
      <c r="F55" s="28">
        <f t="shared" si="1"/>
        <v>25.5</v>
      </c>
      <c r="G55" s="28" t="s">
        <v>9</v>
      </c>
      <c r="H55" s="28"/>
      <c r="I55" s="28" t="s">
        <v>263</v>
      </c>
    </row>
    <row r="56" spans="1:9" ht="26.4" x14ac:dyDescent="0.3">
      <c r="A56" s="30" t="s">
        <v>61</v>
      </c>
      <c r="B56" s="30" t="s">
        <v>116</v>
      </c>
      <c r="C56" s="30" t="s">
        <v>214</v>
      </c>
      <c r="D56" s="28" t="s">
        <v>22</v>
      </c>
      <c r="E56" s="28" t="s">
        <v>17</v>
      </c>
      <c r="F56" s="28">
        <f t="shared" si="1"/>
        <v>2</v>
      </c>
      <c r="G56" s="28" t="s">
        <v>9</v>
      </c>
      <c r="H56" s="28"/>
      <c r="I56" s="28" t="s">
        <v>263</v>
      </c>
    </row>
    <row r="57" spans="1:9" ht="39.6" x14ac:dyDescent="0.3">
      <c r="A57" s="30" t="s">
        <v>61</v>
      </c>
      <c r="B57" s="30" t="s">
        <v>117</v>
      </c>
      <c r="C57" s="30" t="s">
        <v>215</v>
      </c>
      <c r="D57" s="28" t="s">
        <v>22</v>
      </c>
      <c r="E57" s="28" t="s">
        <v>17</v>
      </c>
      <c r="F57" s="28">
        <f t="shared" ref="F57:F92" si="2">VALUE(MID(D57, FIND("(", D57)+1, FIND(")", D57)-FIND("(", D57)-1)) * VALUE(MID(E57, FIND("(", E57)+1, FIND(")", E57)-FIND("(", E57)-1))</f>
        <v>2</v>
      </c>
      <c r="G57" s="28" t="s">
        <v>9</v>
      </c>
      <c r="H57" s="28"/>
      <c r="I57" s="28" t="s">
        <v>263</v>
      </c>
    </row>
    <row r="58" spans="1:9" ht="26.4" x14ac:dyDescent="0.3">
      <c r="A58" s="30" t="s">
        <v>61</v>
      </c>
      <c r="B58" s="30" t="s">
        <v>118</v>
      </c>
      <c r="C58" s="30" t="s">
        <v>216</v>
      </c>
      <c r="D58" s="28" t="s">
        <v>22</v>
      </c>
      <c r="E58" s="28" t="s">
        <v>17</v>
      </c>
      <c r="F58" s="28">
        <f t="shared" si="2"/>
        <v>2</v>
      </c>
      <c r="G58" s="28" t="s">
        <v>9</v>
      </c>
      <c r="H58" s="28"/>
      <c r="I58" s="28" t="s">
        <v>263</v>
      </c>
    </row>
    <row r="59" spans="1:9" ht="39.6" x14ac:dyDescent="0.3">
      <c r="A59" s="30" t="s">
        <v>61</v>
      </c>
      <c r="B59" s="30" t="s">
        <v>119</v>
      </c>
      <c r="C59" s="30" t="s">
        <v>217</v>
      </c>
      <c r="D59" s="28" t="s">
        <v>24</v>
      </c>
      <c r="E59" s="28" t="s">
        <v>17</v>
      </c>
      <c r="F59" s="28">
        <f t="shared" si="2"/>
        <v>10</v>
      </c>
      <c r="G59" s="28" t="s">
        <v>9</v>
      </c>
      <c r="H59" s="28"/>
      <c r="I59" s="28" t="s">
        <v>263</v>
      </c>
    </row>
    <row r="60" spans="1:9" ht="26.4" x14ac:dyDescent="0.3">
      <c r="A60" s="30" t="s">
        <v>61</v>
      </c>
      <c r="B60" s="30" t="s">
        <v>120</v>
      </c>
      <c r="C60" s="30" t="s">
        <v>218</v>
      </c>
      <c r="D60" s="28" t="s">
        <v>22</v>
      </c>
      <c r="E60" s="28" t="s">
        <v>17</v>
      </c>
      <c r="F60" s="28">
        <f t="shared" si="2"/>
        <v>2</v>
      </c>
      <c r="G60" s="28" t="s">
        <v>9</v>
      </c>
      <c r="H60" s="28"/>
      <c r="I60" s="28" t="s">
        <v>263</v>
      </c>
    </row>
    <row r="61" spans="1:9" ht="26.4" x14ac:dyDescent="0.3">
      <c r="A61" s="30" t="s">
        <v>61</v>
      </c>
      <c r="B61" s="30" t="s">
        <v>121</v>
      </c>
      <c r="C61" s="30" t="s">
        <v>219</v>
      </c>
      <c r="D61" s="28" t="s">
        <v>22</v>
      </c>
      <c r="E61" s="28" t="s">
        <v>17</v>
      </c>
      <c r="F61" s="28">
        <f t="shared" si="2"/>
        <v>2</v>
      </c>
      <c r="G61" s="28" t="s">
        <v>9</v>
      </c>
      <c r="H61" s="28"/>
      <c r="I61" s="28" t="s">
        <v>263</v>
      </c>
    </row>
    <row r="62" spans="1:9" ht="26.4" x14ac:dyDescent="0.3">
      <c r="A62" s="30" t="s">
        <v>61</v>
      </c>
      <c r="B62" s="30" t="s">
        <v>122</v>
      </c>
      <c r="C62" s="30" t="s">
        <v>220</v>
      </c>
      <c r="D62" s="28" t="s">
        <v>22</v>
      </c>
      <c r="E62" s="28" t="s">
        <v>17</v>
      </c>
      <c r="F62" s="28">
        <f t="shared" si="2"/>
        <v>2</v>
      </c>
      <c r="G62" s="28" t="s">
        <v>9</v>
      </c>
      <c r="H62" s="28"/>
      <c r="I62" s="28" t="s">
        <v>263</v>
      </c>
    </row>
    <row r="63" spans="1:9" ht="26.4" x14ac:dyDescent="0.3">
      <c r="A63" s="30" t="s">
        <v>61</v>
      </c>
      <c r="B63" s="30" t="s">
        <v>123</v>
      </c>
      <c r="C63" s="30" t="s">
        <v>221</v>
      </c>
      <c r="D63" s="28" t="s">
        <v>24</v>
      </c>
      <c r="E63" s="28" t="s">
        <v>20</v>
      </c>
      <c r="F63" s="28">
        <f t="shared" si="2"/>
        <v>15</v>
      </c>
      <c r="G63" s="28" t="s">
        <v>9</v>
      </c>
      <c r="H63" s="28"/>
      <c r="I63" s="28" t="s">
        <v>263</v>
      </c>
    </row>
    <row r="64" spans="1:9" ht="26.4" x14ac:dyDescent="0.3">
      <c r="A64" s="30" t="s">
        <v>61</v>
      </c>
      <c r="B64" s="30" t="s">
        <v>124</v>
      </c>
      <c r="C64" s="30" t="s">
        <v>222</v>
      </c>
      <c r="D64" s="28" t="s">
        <v>23</v>
      </c>
      <c r="E64" s="28" t="s">
        <v>18</v>
      </c>
      <c r="F64" s="28">
        <f t="shared" si="2"/>
        <v>6.25</v>
      </c>
      <c r="G64" s="28" t="s">
        <v>9</v>
      </c>
      <c r="H64" s="28"/>
      <c r="I64" s="28" t="s">
        <v>263</v>
      </c>
    </row>
    <row r="65" spans="1:9" ht="26.4" x14ac:dyDescent="0.3">
      <c r="A65" s="30" t="s">
        <v>61</v>
      </c>
      <c r="B65" s="30" t="s">
        <v>125</v>
      </c>
      <c r="C65" s="30" t="s">
        <v>223</v>
      </c>
      <c r="D65" s="28" t="s">
        <v>22</v>
      </c>
      <c r="E65" s="28" t="s">
        <v>17</v>
      </c>
      <c r="F65" s="28">
        <f t="shared" si="2"/>
        <v>2</v>
      </c>
      <c r="G65" s="28" t="s">
        <v>9</v>
      </c>
      <c r="H65" s="28"/>
      <c r="I65" s="28" t="s">
        <v>263</v>
      </c>
    </row>
    <row r="66" spans="1:9" ht="26.4" x14ac:dyDescent="0.3">
      <c r="A66" s="30" t="s">
        <v>61</v>
      </c>
      <c r="B66" s="30" t="s">
        <v>126</v>
      </c>
      <c r="C66" s="30" t="s">
        <v>224</v>
      </c>
      <c r="D66" s="28" t="s">
        <v>22</v>
      </c>
      <c r="E66" s="28" t="s">
        <v>17</v>
      </c>
      <c r="F66" s="28">
        <f t="shared" si="2"/>
        <v>2</v>
      </c>
      <c r="G66" s="28" t="s">
        <v>9</v>
      </c>
      <c r="H66" s="28"/>
      <c r="I66" s="28" t="s">
        <v>263</v>
      </c>
    </row>
    <row r="67" spans="1:9" ht="26.4" x14ac:dyDescent="0.3">
      <c r="A67" s="30" t="s">
        <v>61</v>
      </c>
      <c r="B67" s="30" t="s">
        <v>127</v>
      </c>
      <c r="C67" s="30" t="s">
        <v>225</v>
      </c>
      <c r="D67" s="28" t="s">
        <v>23</v>
      </c>
      <c r="E67" s="28" t="s">
        <v>17</v>
      </c>
      <c r="F67" s="28">
        <f t="shared" si="2"/>
        <v>5</v>
      </c>
      <c r="G67" s="28" t="s">
        <v>9</v>
      </c>
      <c r="H67" s="28"/>
      <c r="I67" s="28" t="s">
        <v>263</v>
      </c>
    </row>
    <row r="68" spans="1:9" ht="26.4" x14ac:dyDescent="0.3">
      <c r="A68" s="30" t="s">
        <v>61</v>
      </c>
      <c r="B68" s="30" t="s">
        <v>128</v>
      </c>
      <c r="C68" s="30" t="s">
        <v>226</v>
      </c>
      <c r="D68" s="28" t="s">
        <v>23</v>
      </c>
      <c r="E68" s="28" t="s">
        <v>18</v>
      </c>
      <c r="F68" s="28">
        <f t="shared" si="2"/>
        <v>6.25</v>
      </c>
      <c r="G68" s="28" t="s">
        <v>9</v>
      </c>
      <c r="H68" s="28"/>
      <c r="I68" s="28" t="s">
        <v>263</v>
      </c>
    </row>
    <row r="69" spans="1:9" ht="26.4" x14ac:dyDescent="0.3">
      <c r="A69" s="30" t="s">
        <v>61</v>
      </c>
      <c r="B69" s="30" t="s">
        <v>129</v>
      </c>
      <c r="C69" s="30" t="s">
        <v>227</v>
      </c>
      <c r="D69" s="28" t="s">
        <v>23</v>
      </c>
      <c r="E69" s="28" t="s">
        <v>17</v>
      </c>
      <c r="F69" s="28">
        <f t="shared" si="2"/>
        <v>5</v>
      </c>
      <c r="G69" s="28" t="s">
        <v>9</v>
      </c>
      <c r="H69" s="28"/>
      <c r="I69" s="28" t="s">
        <v>263</v>
      </c>
    </row>
    <row r="70" spans="1:9" ht="26.4" x14ac:dyDescent="0.3">
      <c r="A70" s="30" t="s">
        <v>61</v>
      </c>
      <c r="B70" s="30" t="s">
        <v>130</v>
      </c>
      <c r="C70" s="30" t="s">
        <v>228</v>
      </c>
      <c r="D70" s="28" t="s">
        <v>23</v>
      </c>
      <c r="E70" s="28" t="s">
        <v>17</v>
      </c>
      <c r="F70" s="28">
        <f t="shared" si="2"/>
        <v>5</v>
      </c>
      <c r="G70" s="28" t="s">
        <v>9</v>
      </c>
      <c r="H70" s="28"/>
      <c r="I70" s="28" t="s">
        <v>263</v>
      </c>
    </row>
    <row r="71" spans="1:9" ht="26.4" x14ac:dyDescent="0.3">
      <c r="A71" s="30" t="s">
        <v>61</v>
      </c>
      <c r="B71" s="30" t="s">
        <v>131</v>
      </c>
      <c r="C71" s="30" t="s">
        <v>229</v>
      </c>
      <c r="D71" s="28" t="s">
        <v>23</v>
      </c>
      <c r="E71" s="28" t="s">
        <v>17</v>
      </c>
      <c r="F71" s="28">
        <f t="shared" si="2"/>
        <v>5</v>
      </c>
      <c r="G71" s="28" t="s">
        <v>9</v>
      </c>
      <c r="H71" s="28"/>
      <c r="I71" s="28" t="s">
        <v>263</v>
      </c>
    </row>
    <row r="72" spans="1:9" ht="39.6" x14ac:dyDescent="0.3">
      <c r="A72" s="30" t="s">
        <v>62</v>
      </c>
      <c r="B72" s="30" t="s">
        <v>132</v>
      </c>
      <c r="C72" s="30" t="s">
        <v>230</v>
      </c>
      <c r="D72" s="28" t="s">
        <v>22</v>
      </c>
      <c r="E72" s="28" t="s">
        <v>17</v>
      </c>
      <c r="F72" s="28">
        <f t="shared" si="2"/>
        <v>2</v>
      </c>
      <c r="G72" s="28" t="s">
        <v>9</v>
      </c>
      <c r="H72" s="28"/>
      <c r="I72" s="28" t="s">
        <v>263</v>
      </c>
    </row>
    <row r="73" spans="1:9" ht="26.4" x14ac:dyDescent="0.3">
      <c r="A73" s="30" t="s">
        <v>63</v>
      </c>
      <c r="B73" s="30" t="s">
        <v>133</v>
      </c>
      <c r="C73" s="30" t="s">
        <v>231</v>
      </c>
      <c r="D73" s="28" t="s">
        <v>23</v>
      </c>
      <c r="E73" s="28" t="s">
        <v>18</v>
      </c>
      <c r="F73" s="28">
        <f t="shared" si="2"/>
        <v>6.25</v>
      </c>
      <c r="G73" s="28" t="s">
        <v>9</v>
      </c>
      <c r="H73" s="28"/>
      <c r="I73" s="28" t="s">
        <v>263</v>
      </c>
    </row>
    <row r="74" spans="1:9" ht="26.4" x14ac:dyDescent="0.3">
      <c r="A74" s="30" t="s">
        <v>64</v>
      </c>
      <c r="B74" s="30" t="s">
        <v>134</v>
      </c>
      <c r="C74" s="30" t="s">
        <v>232</v>
      </c>
      <c r="D74" s="28" t="s">
        <v>23</v>
      </c>
      <c r="E74" s="28" t="s">
        <v>18</v>
      </c>
      <c r="F74" s="28">
        <f t="shared" si="2"/>
        <v>6.25</v>
      </c>
      <c r="G74" s="28" t="s">
        <v>9</v>
      </c>
      <c r="H74" s="28"/>
      <c r="I74" s="28" t="s">
        <v>263</v>
      </c>
    </row>
    <row r="75" spans="1:9" ht="26.4" x14ac:dyDescent="0.3">
      <c r="A75" s="30" t="s">
        <v>64</v>
      </c>
      <c r="B75" s="30" t="s">
        <v>135</v>
      </c>
      <c r="C75" s="30" t="s">
        <v>233</v>
      </c>
      <c r="D75" s="28" t="s">
        <v>23</v>
      </c>
      <c r="E75" s="28" t="s">
        <v>20</v>
      </c>
      <c r="F75" s="28">
        <f t="shared" si="2"/>
        <v>7.5</v>
      </c>
      <c r="G75" s="28" t="s">
        <v>9</v>
      </c>
      <c r="H75" s="28"/>
      <c r="I75" s="28" t="s">
        <v>263</v>
      </c>
    </row>
    <row r="76" spans="1:9" ht="26.4" x14ac:dyDescent="0.3">
      <c r="A76" s="30" t="s">
        <v>64</v>
      </c>
      <c r="B76" s="30" t="s">
        <v>136</v>
      </c>
      <c r="C76" s="30" t="s">
        <v>234</v>
      </c>
      <c r="D76" s="28" t="s">
        <v>22</v>
      </c>
      <c r="E76" s="28" t="s">
        <v>17</v>
      </c>
      <c r="F76" s="28">
        <f t="shared" si="2"/>
        <v>2</v>
      </c>
      <c r="G76" s="28" t="s">
        <v>9</v>
      </c>
      <c r="H76" s="28"/>
      <c r="I76" s="28" t="s">
        <v>263</v>
      </c>
    </row>
    <row r="77" spans="1:9" ht="26.4" x14ac:dyDescent="0.3">
      <c r="A77" s="30" t="s">
        <v>64</v>
      </c>
      <c r="B77" s="30" t="s">
        <v>137</v>
      </c>
      <c r="C77" s="30" t="s">
        <v>235</v>
      </c>
      <c r="D77" s="28" t="s">
        <v>23</v>
      </c>
      <c r="E77" s="28" t="s">
        <v>18</v>
      </c>
      <c r="F77" s="28">
        <f t="shared" si="2"/>
        <v>6.25</v>
      </c>
      <c r="G77" s="28" t="s">
        <v>9</v>
      </c>
      <c r="H77" s="28"/>
      <c r="I77" s="28" t="s">
        <v>263</v>
      </c>
    </row>
    <row r="78" spans="1:9" ht="26.4" x14ac:dyDescent="0.3">
      <c r="A78" s="30" t="s">
        <v>64</v>
      </c>
      <c r="B78" s="30" t="s">
        <v>138</v>
      </c>
      <c r="C78" s="30" t="s">
        <v>236</v>
      </c>
      <c r="D78" s="28" t="s">
        <v>22</v>
      </c>
      <c r="E78" s="28" t="s">
        <v>17</v>
      </c>
      <c r="F78" s="28">
        <f t="shared" si="2"/>
        <v>2</v>
      </c>
      <c r="G78" s="28" t="s">
        <v>9</v>
      </c>
      <c r="H78" s="28"/>
      <c r="I78" s="28" t="s">
        <v>263</v>
      </c>
    </row>
    <row r="79" spans="1:9" ht="26.4" x14ac:dyDescent="0.3">
      <c r="A79" s="30" t="s">
        <v>64</v>
      </c>
      <c r="B79" s="30" t="s">
        <v>139</v>
      </c>
      <c r="C79" s="30" t="s">
        <v>237</v>
      </c>
      <c r="D79" s="28" t="s">
        <v>24</v>
      </c>
      <c r="E79" s="28" t="s">
        <v>20</v>
      </c>
      <c r="F79" s="28">
        <f>VALUE(MID(D79, FIND("(", D79)+1, FIND(")", D79)-FIND("(", D79)-1)) * VALUE(MID(E79, FIND("(", E79)+1, FIND(")", E79)-FIND("(", E79)-1))</f>
        <v>15</v>
      </c>
      <c r="G79" s="28" t="s">
        <v>9</v>
      </c>
      <c r="H79" s="28"/>
      <c r="I79" s="28" t="s">
        <v>260</v>
      </c>
    </row>
    <row r="80" spans="1:9" ht="26.4" x14ac:dyDescent="0.3">
      <c r="A80" s="30" t="s">
        <v>64</v>
      </c>
      <c r="B80" s="30" t="s">
        <v>140</v>
      </c>
      <c r="C80" s="30" t="s">
        <v>238</v>
      </c>
      <c r="D80" s="28" t="s">
        <v>23</v>
      </c>
      <c r="E80" s="28" t="s">
        <v>20</v>
      </c>
      <c r="F80" s="28">
        <f>VALUE(MID(D80, FIND("(", D80)+1, FIND(")", D80)-FIND("(", D80)-1)) * VALUE(MID(E80, FIND("(", E80)+1, FIND(")", E80)-FIND("(", E80)-1))</f>
        <v>7.5</v>
      </c>
      <c r="G80" s="28" t="s">
        <v>9</v>
      </c>
      <c r="H80" s="28"/>
      <c r="I80" s="28" t="s">
        <v>263</v>
      </c>
    </row>
    <row r="81" spans="1:9" ht="26.4" x14ac:dyDescent="0.3">
      <c r="A81" s="30" t="s">
        <v>64</v>
      </c>
      <c r="B81" s="30" t="s">
        <v>141</v>
      </c>
      <c r="C81" s="30" t="s">
        <v>239</v>
      </c>
      <c r="D81" s="28" t="s">
        <v>23</v>
      </c>
      <c r="E81" s="28" t="s">
        <v>17</v>
      </c>
      <c r="F81" s="28">
        <f>VALUE(MID(D81, FIND("(", D81)+1, FIND(")", D81)-FIND("(", D81)-1)) * VALUE(MID(E81, FIND("(", E81)+1, FIND(")", E81)-FIND("(", E81)-1))</f>
        <v>5</v>
      </c>
      <c r="G81" s="28" t="s">
        <v>9</v>
      </c>
      <c r="H81" s="28"/>
      <c r="I81" s="28" t="s">
        <v>263</v>
      </c>
    </row>
    <row r="82" spans="1:9" ht="26.4" x14ac:dyDescent="0.3">
      <c r="A82" s="30" t="s">
        <v>65</v>
      </c>
      <c r="B82" s="30" t="s">
        <v>142</v>
      </c>
      <c r="C82" s="30" t="s">
        <v>240</v>
      </c>
      <c r="D82" s="28" t="s">
        <v>24</v>
      </c>
      <c r="E82" s="28" t="s">
        <v>20</v>
      </c>
      <c r="F82" s="28">
        <f>VALUE(MID(D82, FIND("(", D82)+1, FIND(")", D82)-FIND("(", D82)-1)) * VALUE(MID(E82, FIND("(", E82)+1, FIND(")", E82)-FIND("(", E82)-1))</f>
        <v>15</v>
      </c>
      <c r="G82" s="28" t="s">
        <v>9</v>
      </c>
      <c r="H82" s="28"/>
      <c r="I82" s="28" t="s">
        <v>263</v>
      </c>
    </row>
    <row r="83" spans="1:9" ht="26.4" x14ac:dyDescent="0.3">
      <c r="A83" s="30" t="s">
        <v>65</v>
      </c>
      <c r="B83" s="30" t="s">
        <v>143</v>
      </c>
      <c r="C83" s="30" t="s">
        <v>241</v>
      </c>
      <c r="D83" s="28" t="s">
        <v>22</v>
      </c>
      <c r="E83" s="28" t="s">
        <v>17</v>
      </c>
      <c r="F83" s="28">
        <f>VALUE(MID(D83, FIND("(", D83)+1, FIND(")", D83)-FIND("(", D83)-1)) * VALUE(MID(E83, FIND("(", E83)+1, FIND(")", E83)-FIND("(", E83)-1))</f>
        <v>2</v>
      </c>
      <c r="G83" s="28" t="s">
        <v>9</v>
      </c>
      <c r="H83" s="28"/>
      <c r="I83" s="28" t="s">
        <v>263</v>
      </c>
    </row>
    <row r="84" spans="1:9" ht="26.4" x14ac:dyDescent="0.3">
      <c r="A84" s="30" t="s">
        <v>65</v>
      </c>
      <c r="B84" s="30" t="s">
        <v>265</v>
      </c>
      <c r="C84" s="30" t="s">
        <v>242</v>
      </c>
      <c r="D84" s="28" t="s">
        <v>24</v>
      </c>
      <c r="E84" s="28" t="s">
        <v>18</v>
      </c>
      <c r="F84" s="28">
        <f t="shared" si="2"/>
        <v>12.5</v>
      </c>
      <c r="G84" s="28" t="s">
        <v>9</v>
      </c>
      <c r="H84" s="28"/>
      <c r="I84" s="28" t="s">
        <v>263</v>
      </c>
    </row>
    <row r="85" spans="1:9" ht="26.4" x14ac:dyDescent="0.3">
      <c r="A85" s="30" t="s">
        <v>65</v>
      </c>
      <c r="B85" s="30" t="s">
        <v>144</v>
      </c>
      <c r="C85" s="30" t="s">
        <v>243</v>
      </c>
      <c r="D85" s="28" t="s">
        <v>22</v>
      </c>
      <c r="E85" s="28" t="s">
        <v>17</v>
      </c>
      <c r="F85" s="28">
        <f t="shared" si="2"/>
        <v>2</v>
      </c>
      <c r="G85" s="28" t="s">
        <v>9</v>
      </c>
      <c r="H85" s="28"/>
      <c r="I85" s="28" t="s">
        <v>263</v>
      </c>
    </row>
    <row r="86" spans="1:9" ht="26.4" x14ac:dyDescent="0.3">
      <c r="A86" s="30" t="s">
        <v>65</v>
      </c>
      <c r="B86" s="30" t="s">
        <v>145</v>
      </c>
      <c r="C86" s="30" t="s">
        <v>244</v>
      </c>
      <c r="D86" s="28" t="s">
        <v>22</v>
      </c>
      <c r="E86" s="28" t="s">
        <v>17</v>
      </c>
      <c r="F86" s="28">
        <f t="shared" si="2"/>
        <v>2</v>
      </c>
      <c r="G86" s="28" t="s">
        <v>9</v>
      </c>
      <c r="H86" s="28"/>
      <c r="I86" s="28" t="s">
        <v>263</v>
      </c>
    </row>
    <row r="87" spans="1:9" ht="26.4" x14ac:dyDescent="0.3">
      <c r="A87" s="30" t="s">
        <v>65</v>
      </c>
      <c r="B87" s="30" t="s">
        <v>146</v>
      </c>
      <c r="C87" s="30" t="s">
        <v>266</v>
      </c>
      <c r="D87" s="28" t="s">
        <v>23</v>
      </c>
      <c r="E87" s="28" t="s">
        <v>19</v>
      </c>
      <c r="F87" s="28">
        <f t="shared" si="2"/>
        <v>5.5</v>
      </c>
      <c r="G87" s="28" t="s">
        <v>9</v>
      </c>
      <c r="H87" s="28"/>
      <c r="I87" s="28" t="s">
        <v>263</v>
      </c>
    </row>
    <row r="88" spans="1:9" ht="26.4" x14ac:dyDescent="0.3">
      <c r="A88" s="30" t="s">
        <v>65</v>
      </c>
      <c r="B88" s="30" t="s">
        <v>147</v>
      </c>
      <c r="C88" s="30" t="s">
        <v>245</v>
      </c>
      <c r="D88" s="28" t="s">
        <v>23</v>
      </c>
      <c r="E88" s="28" t="s">
        <v>18</v>
      </c>
      <c r="F88" s="28">
        <f t="shared" si="2"/>
        <v>6.25</v>
      </c>
      <c r="G88" s="28" t="s">
        <v>9</v>
      </c>
      <c r="H88" s="28"/>
      <c r="I88" s="28" t="s">
        <v>263</v>
      </c>
    </row>
    <row r="89" spans="1:9" s="25" customFormat="1" ht="26.4" x14ac:dyDescent="0.3">
      <c r="A89" s="31" t="s">
        <v>66</v>
      </c>
      <c r="B89" s="31" t="s">
        <v>148</v>
      </c>
      <c r="C89" s="31" t="s">
        <v>246</v>
      </c>
      <c r="D89" s="29" t="s">
        <v>23</v>
      </c>
      <c r="E89" s="29" t="s">
        <v>20</v>
      </c>
      <c r="F89" s="29">
        <f t="shared" si="2"/>
        <v>7.5</v>
      </c>
      <c r="G89" s="29" t="s">
        <v>9</v>
      </c>
      <c r="H89" s="29"/>
      <c r="I89" s="29" t="s">
        <v>260</v>
      </c>
    </row>
    <row r="90" spans="1:9" ht="26.4" x14ac:dyDescent="0.3">
      <c r="A90" s="30" t="s">
        <v>67</v>
      </c>
      <c r="B90" s="30" t="s">
        <v>149</v>
      </c>
      <c r="C90" s="30" t="s">
        <v>247</v>
      </c>
      <c r="D90" s="28" t="s">
        <v>22</v>
      </c>
      <c r="E90" s="28" t="s">
        <v>18</v>
      </c>
      <c r="F90" s="28">
        <f t="shared" si="2"/>
        <v>2.5</v>
      </c>
      <c r="G90" s="28" t="s">
        <v>9</v>
      </c>
      <c r="H90" s="28"/>
      <c r="I90" s="28" t="s">
        <v>263</v>
      </c>
    </row>
    <row r="91" spans="1:9" ht="26.4" x14ac:dyDescent="0.3">
      <c r="A91" s="30" t="s">
        <v>67</v>
      </c>
      <c r="B91" s="30" t="s">
        <v>150</v>
      </c>
      <c r="C91" s="30" t="s">
        <v>248</v>
      </c>
      <c r="D91" s="28" t="s">
        <v>23</v>
      </c>
      <c r="E91" s="28" t="s">
        <v>17</v>
      </c>
      <c r="F91" s="28">
        <f t="shared" si="2"/>
        <v>5</v>
      </c>
      <c r="G91" s="28" t="s">
        <v>9</v>
      </c>
      <c r="H91" s="28"/>
      <c r="I91" s="28" t="s">
        <v>260</v>
      </c>
    </row>
    <row r="92" spans="1:9" ht="26.4" x14ac:dyDescent="0.3">
      <c r="A92" s="30" t="s">
        <v>67</v>
      </c>
      <c r="B92" s="30" t="s">
        <v>151</v>
      </c>
      <c r="C92" s="30" t="s">
        <v>249</v>
      </c>
      <c r="D92" s="28" t="s">
        <v>22</v>
      </c>
      <c r="E92" s="28" t="s">
        <v>17</v>
      </c>
      <c r="F92" s="28">
        <f t="shared" si="2"/>
        <v>2</v>
      </c>
      <c r="G92" s="28" t="s">
        <v>9</v>
      </c>
      <c r="H92" s="28"/>
      <c r="I92" s="28" t="s">
        <v>260</v>
      </c>
    </row>
    <row r="93" spans="1:9" ht="26.4" x14ac:dyDescent="0.3">
      <c r="A93" s="30" t="s">
        <v>67</v>
      </c>
      <c r="B93" s="30" t="s">
        <v>152</v>
      </c>
      <c r="C93" s="30" t="s">
        <v>250</v>
      </c>
      <c r="D93" s="28" t="s">
        <v>22</v>
      </c>
      <c r="E93" s="28" t="s">
        <v>17</v>
      </c>
      <c r="F93" s="28">
        <f t="shared" ref="F93:F101" si="3">VALUE(MID(D93, FIND("(", D93)+1, FIND(")", D93)-FIND("(", D93)-1)) * VALUE(MID(E93, FIND("(", E93)+1, FIND(")", E93)-FIND("(", E93)-1))</f>
        <v>2</v>
      </c>
      <c r="G93" s="28" t="s">
        <v>9</v>
      </c>
      <c r="H93" s="28"/>
      <c r="I93" s="28" t="s">
        <v>263</v>
      </c>
    </row>
    <row r="94" spans="1:9" ht="39.6" x14ac:dyDescent="0.3">
      <c r="A94" s="30" t="s">
        <v>68</v>
      </c>
      <c r="B94" s="30" t="s">
        <v>153</v>
      </c>
      <c r="C94" s="30" t="s">
        <v>251</v>
      </c>
      <c r="D94" s="28" t="s">
        <v>23</v>
      </c>
      <c r="E94" s="28" t="s">
        <v>17</v>
      </c>
      <c r="F94" s="28">
        <f t="shared" si="3"/>
        <v>5</v>
      </c>
      <c r="G94" s="28" t="s">
        <v>9</v>
      </c>
      <c r="H94" s="28"/>
      <c r="I94" s="28" t="s">
        <v>263</v>
      </c>
    </row>
    <row r="95" spans="1:9" ht="26.4" x14ac:dyDescent="0.3">
      <c r="A95" s="30" t="s">
        <v>68</v>
      </c>
      <c r="B95" s="30" t="s">
        <v>154</v>
      </c>
      <c r="C95" s="30" t="s">
        <v>252</v>
      </c>
      <c r="D95" s="28" t="s">
        <v>22</v>
      </c>
      <c r="E95" s="28" t="s">
        <v>17</v>
      </c>
      <c r="F95" s="28">
        <f t="shared" si="3"/>
        <v>2</v>
      </c>
      <c r="G95" s="28" t="s">
        <v>9</v>
      </c>
      <c r="H95" s="28"/>
      <c r="I95" s="28" t="s">
        <v>263</v>
      </c>
    </row>
    <row r="96" spans="1:9" ht="26.4" x14ac:dyDescent="0.3">
      <c r="A96" s="30" t="s">
        <v>68</v>
      </c>
      <c r="B96" s="30" t="s">
        <v>155</v>
      </c>
      <c r="C96" s="30" t="s">
        <v>253</v>
      </c>
      <c r="D96" s="28" t="s">
        <v>23</v>
      </c>
      <c r="E96" s="28" t="s">
        <v>17</v>
      </c>
      <c r="F96" s="28">
        <f t="shared" si="3"/>
        <v>5</v>
      </c>
      <c r="G96" s="28" t="s">
        <v>9</v>
      </c>
      <c r="H96" s="28"/>
      <c r="I96" s="28" t="s">
        <v>263</v>
      </c>
    </row>
    <row r="97" spans="1:9" ht="26.4" x14ac:dyDescent="0.3">
      <c r="A97" s="30" t="s">
        <v>68</v>
      </c>
      <c r="B97" s="30" t="s">
        <v>156</v>
      </c>
      <c r="C97" s="30" t="s">
        <v>254</v>
      </c>
      <c r="D97" s="28" t="s">
        <v>23</v>
      </c>
      <c r="E97" s="28" t="s">
        <v>17</v>
      </c>
      <c r="F97" s="28">
        <f t="shared" si="3"/>
        <v>5</v>
      </c>
      <c r="G97" s="28" t="s">
        <v>9</v>
      </c>
      <c r="H97" s="28"/>
      <c r="I97" s="28" t="s">
        <v>263</v>
      </c>
    </row>
    <row r="98" spans="1:9" ht="26.4" x14ac:dyDescent="0.3">
      <c r="A98" s="30" t="s">
        <v>68</v>
      </c>
      <c r="B98" s="30" t="s">
        <v>157</v>
      </c>
      <c r="C98" s="30" t="s">
        <v>255</v>
      </c>
      <c r="D98" s="28" t="s">
        <v>23</v>
      </c>
      <c r="E98" s="28" t="s">
        <v>17</v>
      </c>
      <c r="F98" s="28">
        <f t="shared" si="3"/>
        <v>5</v>
      </c>
      <c r="G98" s="28" t="s">
        <v>9</v>
      </c>
      <c r="H98" s="28"/>
      <c r="I98" s="28" t="s">
        <v>263</v>
      </c>
    </row>
    <row r="99" spans="1:9" ht="26.4" x14ac:dyDescent="0.3">
      <c r="A99" s="30" t="s">
        <v>68</v>
      </c>
      <c r="B99" s="30" t="s">
        <v>158</v>
      </c>
      <c r="C99" s="30" t="s">
        <v>256</v>
      </c>
      <c r="D99" s="28" t="s">
        <v>23</v>
      </c>
      <c r="E99" s="28" t="s">
        <v>17</v>
      </c>
      <c r="F99" s="28">
        <f t="shared" si="3"/>
        <v>5</v>
      </c>
      <c r="G99" s="28" t="s">
        <v>9</v>
      </c>
      <c r="H99" s="28"/>
      <c r="I99" s="28" t="s">
        <v>263</v>
      </c>
    </row>
    <row r="100" spans="1:9" ht="26.4" x14ac:dyDescent="0.3">
      <c r="A100" s="30" t="s">
        <v>68</v>
      </c>
      <c r="B100" s="30" t="s">
        <v>159</v>
      </c>
      <c r="C100" s="30" t="s">
        <v>257</v>
      </c>
      <c r="D100" s="28" t="s">
        <v>23</v>
      </c>
      <c r="E100" s="28" t="s">
        <v>17</v>
      </c>
      <c r="F100" s="28">
        <f t="shared" si="3"/>
        <v>5</v>
      </c>
      <c r="G100" s="28" t="s">
        <v>9</v>
      </c>
      <c r="H100" s="28"/>
      <c r="I100" s="28" t="s">
        <v>263</v>
      </c>
    </row>
    <row r="101" spans="1:9" ht="26.4" x14ac:dyDescent="0.3">
      <c r="A101" s="30" t="s">
        <v>68</v>
      </c>
      <c r="B101" s="30" t="s">
        <v>160</v>
      </c>
      <c r="C101" s="30" t="s">
        <v>258</v>
      </c>
      <c r="D101" s="28" t="s">
        <v>23</v>
      </c>
      <c r="E101" s="28" t="s">
        <v>17</v>
      </c>
      <c r="F101" s="28">
        <f t="shared" si="3"/>
        <v>5</v>
      </c>
      <c r="G101" s="28" t="s">
        <v>9</v>
      </c>
      <c r="H101" s="28"/>
      <c r="I101" s="28" t="s">
        <v>263</v>
      </c>
    </row>
  </sheetData>
  <autoFilter ref="A1:H101"/>
  <mergeCells count="4">
    <mergeCell ref="B6:B8"/>
    <mergeCell ref="D6:D8"/>
    <mergeCell ref="E6:E8"/>
    <mergeCell ref="F6:F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Guidelines!$A$15:$A$20</xm:f>
          </x14:formula1>
          <xm:sqref>D1:D6 D79 D82:D1048576 D9:D73</xm:sqref>
        </x14:dataValidation>
        <x14:dataValidation type="list" allowBlank="1" showInputMessage="1" showErrorMessage="1">
          <x14:formula1>
            <xm:f>Guidelines!$A$9:$A$12</xm:f>
          </x14:formula1>
          <xm:sqref>E1:E6 E79 E82:E1048576 E9:E73</xm:sqref>
        </x14:dataValidation>
        <x14:dataValidation type="list" allowBlank="1" showInputMessage="1" showErrorMessage="1">
          <x14:formula1>
            <xm:f>'D:\Claude\SheDrive\High Level Estimate\[HLE-SheDrive-V0.1 - Mobile.xlsx]Guidelines'!#REF!</xm:f>
          </x14:formula1>
          <xm:sqref>D80:E81 D74:E78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election activeCell="C18" sqref="C18"/>
    </sheetView>
  </sheetViews>
  <sheetFormatPr defaultRowHeight="14.4" x14ac:dyDescent="0.3"/>
  <cols>
    <col min="1" max="1" width="30.88671875" bestFit="1" customWidth="1"/>
    <col min="3" max="3" width="15.5546875" bestFit="1" customWidth="1"/>
    <col min="4" max="4" width="22.44140625" bestFit="1" customWidth="1"/>
  </cols>
  <sheetData>
    <row r="1" spans="1:4" x14ac:dyDescent="0.3">
      <c r="A1" s="1" t="s">
        <v>41</v>
      </c>
    </row>
    <row r="2" spans="1:4" x14ac:dyDescent="0.3">
      <c r="A2" s="2" t="s">
        <v>42</v>
      </c>
      <c r="B2" s="3">
        <f>SUM(Features!F2:F149)</f>
        <v>437.4</v>
      </c>
      <c r="C2" t="s">
        <v>43</v>
      </c>
    </row>
    <row r="3" spans="1:4" x14ac:dyDescent="0.3">
      <c r="A3" s="4" t="s">
        <v>29</v>
      </c>
      <c r="B3" s="5">
        <v>5</v>
      </c>
      <c r="C3" t="s">
        <v>46</v>
      </c>
    </row>
    <row r="4" spans="1:4" x14ac:dyDescent="0.3">
      <c r="A4" s="4" t="s">
        <v>30</v>
      </c>
      <c r="B4" s="5">
        <v>0.5</v>
      </c>
      <c r="C4" t="s">
        <v>44</v>
      </c>
    </row>
    <row r="5" spans="1:4" x14ac:dyDescent="0.3">
      <c r="A5" s="4" t="s">
        <v>31</v>
      </c>
      <c r="B5" s="5">
        <v>1</v>
      </c>
      <c r="C5" t="s">
        <v>44</v>
      </c>
    </row>
    <row r="6" spans="1:4" x14ac:dyDescent="0.3">
      <c r="A6" s="4" t="s">
        <v>27</v>
      </c>
      <c r="B6" s="5">
        <v>1</v>
      </c>
      <c r="C6" t="s">
        <v>44</v>
      </c>
    </row>
    <row r="7" spans="1:4" x14ac:dyDescent="0.3">
      <c r="A7" s="4" t="s">
        <v>33</v>
      </c>
      <c r="B7" s="5">
        <v>0.5</v>
      </c>
      <c r="C7" t="s">
        <v>44</v>
      </c>
    </row>
    <row r="8" spans="1:4" x14ac:dyDescent="0.3">
      <c r="A8" s="4" t="s">
        <v>32</v>
      </c>
      <c r="B8" s="5">
        <v>0.5</v>
      </c>
      <c r="C8" t="s">
        <v>44</v>
      </c>
    </row>
    <row r="9" spans="1:4" x14ac:dyDescent="0.3">
      <c r="A9" s="6" t="s">
        <v>28</v>
      </c>
      <c r="B9" s="7">
        <f>((B2/B3)/10)+B4+B5+B6+B7+B8</f>
        <v>12.247999999999999</v>
      </c>
      <c r="C9" t="s">
        <v>47</v>
      </c>
      <c r="D9" t="s">
        <v>45</v>
      </c>
    </row>
    <row r="12" spans="1:4" ht="15" thickBot="1" x14ac:dyDescent="0.35">
      <c r="A12" s="1" t="s">
        <v>39</v>
      </c>
    </row>
    <row r="13" spans="1:4" ht="16.2" thickBot="1" x14ac:dyDescent="0.35">
      <c r="A13" s="8" t="s">
        <v>34</v>
      </c>
      <c r="B13" s="9" t="s">
        <v>35</v>
      </c>
      <c r="C13" s="9" t="s">
        <v>55</v>
      </c>
      <c r="D13" s="10" t="s">
        <v>6</v>
      </c>
    </row>
    <row r="14" spans="1:4" ht="15.6" x14ac:dyDescent="0.3">
      <c r="A14" s="11" t="s">
        <v>56</v>
      </c>
      <c r="B14" s="12">
        <v>1</v>
      </c>
      <c r="C14" s="12">
        <v>95</v>
      </c>
      <c r="D14" s="13"/>
    </row>
    <row r="15" spans="1:4" ht="15.6" x14ac:dyDescent="0.3">
      <c r="A15" s="14" t="s">
        <v>57</v>
      </c>
      <c r="B15" s="12">
        <v>3</v>
      </c>
      <c r="C15" s="12">
        <v>95</v>
      </c>
      <c r="D15" s="13"/>
    </row>
    <row r="16" spans="1:4" ht="15.6" x14ac:dyDescent="0.3">
      <c r="A16" s="14" t="s">
        <v>58</v>
      </c>
      <c r="B16" s="15">
        <v>1</v>
      </c>
      <c r="C16" s="12">
        <v>95</v>
      </c>
      <c r="D16" s="13"/>
    </row>
    <row r="17" spans="1:4" ht="15.6" x14ac:dyDescent="0.3">
      <c r="A17" s="14" t="s">
        <v>36</v>
      </c>
      <c r="B17" s="15">
        <v>1</v>
      </c>
      <c r="C17" s="12">
        <v>95</v>
      </c>
      <c r="D17" s="16"/>
    </row>
    <row r="18" spans="1:4" ht="15.6" x14ac:dyDescent="0.3">
      <c r="A18" s="14" t="s">
        <v>40</v>
      </c>
      <c r="B18" s="15">
        <v>1</v>
      </c>
      <c r="C18" s="12">
        <v>35</v>
      </c>
      <c r="D18" s="16"/>
    </row>
    <row r="19" spans="1:4" ht="15.6" x14ac:dyDescent="0.3">
      <c r="A19" s="14" t="s">
        <v>54</v>
      </c>
      <c r="B19" s="15">
        <v>0</v>
      </c>
      <c r="C19" s="12">
        <v>0</v>
      </c>
      <c r="D19" s="16"/>
    </row>
    <row r="20" spans="1:4" ht="15.6" x14ac:dyDescent="0.3">
      <c r="A20" s="17" t="s">
        <v>37</v>
      </c>
      <c r="B20" s="15">
        <v>1</v>
      </c>
      <c r="C20" s="12">
        <v>95</v>
      </c>
      <c r="D20" s="16"/>
    </row>
    <row r="21" spans="1:4" ht="15.6" x14ac:dyDescent="0.3">
      <c r="A21" s="17" t="s">
        <v>38</v>
      </c>
      <c r="B21" s="15">
        <v>1</v>
      </c>
      <c r="C21" s="12">
        <v>60</v>
      </c>
      <c r="D21" s="16"/>
    </row>
    <row r="22" spans="1:4" ht="15.6" x14ac:dyDescent="0.3">
      <c r="A22" s="18"/>
      <c r="B22" s="19"/>
      <c r="C22" s="19"/>
      <c r="D22" s="16"/>
    </row>
    <row r="23" spans="1:4" ht="15.6" x14ac:dyDescent="0.3">
      <c r="A23" s="18"/>
      <c r="B23" s="19"/>
      <c r="C23" s="19"/>
      <c r="D23" s="16"/>
    </row>
    <row r="24" spans="1:4" ht="16.2" thickBot="1" x14ac:dyDescent="0.35">
      <c r="A24" s="20"/>
      <c r="B24" s="21"/>
      <c r="C24" s="21"/>
      <c r="D24"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16" sqref="A16"/>
    </sheetView>
  </sheetViews>
  <sheetFormatPr defaultRowHeight="14.4" x14ac:dyDescent="0.3"/>
  <cols>
    <col min="1" max="1" width="12.77734375" bestFit="1" customWidth="1"/>
    <col min="2" max="2" width="35.44140625" bestFit="1" customWidth="1"/>
  </cols>
  <sheetData>
    <row r="1" spans="1:2" s="1" customFormat="1" x14ac:dyDescent="0.3">
      <c r="A1" s="1" t="s">
        <v>5</v>
      </c>
      <c r="B1" s="1" t="s">
        <v>8</v>
      </c>
    </row>
    <row r="2" spans="1:2" x14ac:dyDescent="0.3">
      <c r="A2" t="s">
        <v>9</v>
      </c>
      <c r="B2" t="s">
        <v>13</v>
      </c>
    </row>
    <row r="3" spans="1:2" x14ac:dyDescent="0.3">
      <c r="A3" t="s">
        <v>10</v>
      </c>
      <c r="B3" t="s">
        <v>14</v>
      </c>
    </row>
    <row r="4" spans="1:2" x14ac:dyDescent="0.3">
      <c r="A4" t="s">
        <v>11</v>
      </c>
      <c r="B4" t="s">
        <v>15</v>
      </c>
    </row>
    <row r="5" spans="1:2" x14ac:dyDescent="0.3">
      <c r="A5" t="s">
        <v>12</v>
      </c>
      <c r="B5" t="s">
        <v>16</v>
      </c>
    </row>
    <row r="8" spans="1:2" s="1" customFormat="1" x14ac:dyDescent="0.3">
      <c r="A8" s="1" t="s">
        <v>3</v>
      </c>
      <c r="B8" s="1" t="s">
        <v>8</v>
      </c>
    </row>
    <row r="9" spans="1:2" x14ac:dyDescent="0.3">
      <c r="A9" t="s">
        <v>17</v>
      </c>
      <c r="B9" t="s">
        <v>48</v>
      </c>
    </row>
    <row r="10" spans="1:2" x14ac:dyDescent="0.3">
      <c r="A10" t="s">
        <v>19</v>
      </c>
      <c r="B10" t="s">
        <v>49</v>
      </c>
    </row>
    <row r="11" spans="1:2" x14ac:dyDescent="0.3">
      <c r="A11" t="s">
        <v>18</v>
      </c>
      <c r="B11" t="s">
        <v>50</v>
      </c>
    </row>
    <row r="12" spans="1:2" x14ac:dyDescent="0.3">
      <c r="A12" t="s">
        <v>20</v>
      </c>
      <c r="B12" t="s">
        <v>51</v>
      </c>
    </row>
    <row r="14" spans="1:2" s="1" customFormat="1" x14ac:dyDescent="0.3">
      <c r="A14" s="1" t="s">
        <v>21</v>
      </c>
      <c r="B14" s="1" t="s">
        <v>8</v>
      </c>
    </row>
    <row r="15" spans="1:2" s="1" customFormat="1" x14ac:dyDescent="0.3">
      <c r="A15" s="24" t="s">
        <v>53</v>
      </c>
      <c r="B15" s="23" t="s">
        <v>52</v>
      </c>
    </row>
    <row r="16" spans="1:2" x14ac:dyDescent="0.3">
      <c r="A16" t="s">
        <v>22</v>
      </c>
    </row>
    <row r="17" spans="1:1" x14ac:dyDescent="0.3">
      <c r="A17" t="s">
        <v>23</v>
      </c>
    </row>
    <row r="18" spans="1:1" x14ac:dyDescent="0.3">
      <c r="A18" t="s">
        <v>24</v>
      </c>
    </row>
    <row r="19" spans="1:1" x14ac:dyDescent="0.3">
      <c r="A19" t="s">
        <v>25</v>
      </c>
    </row>
    <row r="20" spans="1:1" x14ac:dyDescent="0.3">
      <c r="A20" t="s">
        <v>26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Features</vt:lpstr>
      <vt:lpstr>Estimate Summary</vt:lpstr>
      <vt:lpstr>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2026-06-02T09:37:06Z</dcterms:modified>
</cp:coreProperties>
</file>