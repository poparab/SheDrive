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1"/>
  </bookViews>
  <sheets>
    <sheet name="Sheet1" sheetId="1" r:id="rId1"/>
    <sheet name="demo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" i="2" l="1"/>
  <c r="G5" i="2"/>
  <c r="G6" i="2"/>
  <c r="G7" i="2"/>
  <c r="G8" i="2"/>
  <c r="G9" i="2"/>
  <c r="G10" i="2"/>
  <c r="G11" i="2"/>
  <c r="G12" i="2"/>
  <c r="G3" i="2"/>
  <c r="G15" i="2" l="1"/>
</calcChain>
</file>

<file path=xl/sharedStrings.xml><?xml version="1.0" encoding="utf-8"?>
<sst xmlns="http://schemas.openxmlformats.org/spreadsheetml/2006/main" count="52" uniqueCount="22">
  <si>
    <t>Project Resources</t>
  </si>
  <si>
    <t xml:space="preserve">Role </t>
  </si>
  <si>
    <t xml:space="preserve">Count </t>
  </si>
  <si>
    <t>Duration (days)</t>
  </si>
  <si>
    <t>Notes</t>
  </si>
  <si>
    <t>Mobile app Team Leader</t>
  </si>
  <si>
    <t>Mobile app Senior Developer</t>
  </si>
  <si>
    <t>Senior QC engineer</t>
  </si>
  <si>
    <t>UIUX designer</t>
  </si>
  <si>
    <t>Product Owner</t>
  </si>
  <si>
    <t xml:space="preserve">Fullstack Team Lead </t>
  </si>
  <si>
    <t xml:space="preserve">Fullstack Senior Developer </t>
  </si>
  <si>
    <t>Fullstack Junior Developer</t>
  </si>
  <si>
    <t xml:space="preserve">shared </t>
  </si>
  <si>
    <t>Senior Scrum master</t>
  </si>
  <si>
    <t xml:space="preserve">Flutter </t>
  </si>
  <si>
    <t>Full stack</t>
  </si>
  <si>
    <t>Months</t>
  </si>
  <si>
    <t>AVG salary</t>
  </si>
  <si>
    <t>QC engineer</t>
  </si>
  <si>
    <t xml:space="preserve">Total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</si>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</sst>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EGP]\ #,##0_);\([$EGP]\ #,##0\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2">
    <xf numFmtId="0" fontId="0" fillId="0" borderId="0" xfId="0"/>
    <xf numFmtId="0" fontId="2" fillId="0" borderId="0" xfId="0" applyFont="1"/>
    <xf numFmtId="0" fontId="3" fillId="0" borderId="1" xfId="1" applyFont="1" applyBorder="1"/>
    <xf numFmtId="0" fontId="3" fillId="0" borderId="2" xfId="1" applyFont="1" applyBorder="1"/>
    <xf numFmtId="0" fontId="3" fillId="0" borderId="3" xfId="1" applyFont="1" applyBorder="1"/>
    <xf numFmtId="0" fontId="4" fillId="0" borderId="4" xfId="0" applyFont="1" applyBorder="1"/>
    <xf numFmtId="0" fontId="4" fillId="0" borderId="5" xfId="2" applyFont="1" applyBorder="1"/>
    <xf numFmtId="0" fontId="4" fillId="0" borderId="6" xfId="1" applyFont="1" applyBorder="1"/>
    <xf numFmtId="0" fontId="4" fillId="0" borderId="7" xfId="0" applyFont="1" applyBorder="1"/>
    <xf numFmtId="0" fontId="4" fillId="0" borderId="8" xfId="2" applyFont="1" applyBorder="1"/>
    <xf numFmtId="0" fontId="4" fillId="0" borderId="9" xfId="1" applyFont="1" applyBorder="1"/>
    <xf numFmtId="0" fontId="4" fillId="0" borderId="7" xfId="2" applyFont="1" applyBorder="1"/>
    <xf numFmtId="0" fontId="4" fillId="0" borderId="7" xfId="1" applyFont="1" applyBorder="1"/>
    <xf numFmtId="0" fontId="4" fillId="0" borderId="8" xfId="1" applyFont="1" applyBorder="1"/>
    <xf numFmtId="0" fontId="4" fillId="0" borderId="10" xfId="1" applyFont="1" applyBorder="1"/>
    <xf numFmtId="0" fontId="4" fillId="0" borderId="11" xfId="1" applyFont="1" applyBorder="1"/>
    <xf numFmtId="0" fontId="4" fillId="0" borderId="12" xfId="1" applyFont="1" applyBorder="1"/>
    <xf numFmtId="0" fontId="3" fillId="0" borderId="0" xfId="1" applyFont="1" applyFill="1" applyBorder="1"/>
    <xf numFmtId="0" fontId="4" fillId="0" borderId="0" xfId="1" applyFont="1" applyFill="1" applyBorder="1"/>
    <xf numFmtId="0" fontId="4" fillId="2" borderId="0" xfId="1" applyFont="1" applyFill="1" applyBorder="1"/>
    <xf numFmtId="0" fontId="0" fillId="3" borderId="0" xfId="0" applyFill="1"/>
    <xf numFmtId="165" fontId="2" fillId="3" borderId="0" xfId="0" applyNumberFormat="1" applyFont="1" applyFill="1"/>
  </cellXfs>
  <cellStyles count="3">
    <cellStyle name="Normal" xfId="0" builtinId="0"/>
    <cellStyle name="Normal 2" xfId="1"/>
    <cellStyle name="Normal 2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selection activeCell="B16" sqref="B16"/>
    </sheetView>
  </sheetViews>
  <sheetFormatPr defaultRowHeight="14.4" x14ac:dyDescent="0.3"/>
  <cols>
    <col min="1" max="1" width="28.5546875" bestFit="1" customWidth="1"/>
    <col min="2" max="2" width="7.21875" bestFit="1" customWidth="1"/>
    <col min="3" max="3" width="15.5546875" bestFit="1" customWidth="1"/>
    <col min="4" max="4" width="9.5546875" bestFit="1" customWidth="1"/>
  </cols>
  <sheetData>
    <row r="1" spans="1:4" ht="15" thickBot="1" x14ac:dyDescent="0.35">
      <c r="A1" s="1" t="s">
        <v>0</v>
      </c>
    </row>
    <row r="2" spans="1:4" ht="16.2" thickBot="1" x14ac:dyDescent="0.35">
      <c r="A2" s="2" t="s">
        <v>1</v>
      </c>
      <c r="B2" s="3" t="s">
        <v>2</v>
      </c>
      <c r="C2" s="3" t="s">
        <v>3</v>
      </c>
      <c r="D2" s="4" t="s">
        <v>4</v>
      </c>
    </row>
    <row r="3" spans="1:4" ht="15.6" x14ac:dyDescent="0.3">
      <c r="A3" s="5" t="s">
        <v>10</v>
      </c>
      <c r="B3" s="6">
        <v>1</v>
      </c>
      <c r="C3" s="6">
        <v>95</v>
      </c>
      <c r="D3" s="7" t="s">
        <v>16</v>
      </c>
    </row>
    <row r="4" spans="1:4" ht="15.6" x14ac:dyDescent="0.3">
      <c r="A4" s="8" t="s">
        <v>11</v>
      </c>
      <c r="B4" s="6">
        <v>3</v>
      </c>
      <c r="C4" s="6">
        <v>95</v>
      </c>
      <c r="D4" s="7" t="s">
        <v>16</v>
      </c>
    </row>
    <row r="5" spans="1:4" ht="15.6" x14ac:dyDescent="0.3">
      <c r="A5" s="8" t="s">
        <v>12</v>
      </c>
      <c r="B5" s="9">
        <v>1</v>
      </c>
      <c r="C5" s="6">
        <v>95</v>
      </c>
      <c r="D5" s="7" t="s">
        <v>16</v>
      </c>
    </row>
    <row r="6" spans="1:4" ht="15.6" x14ac:dyDescent="0.3">
      <c r="A6" s="5" t="s">
        <v>5</v>
      </c>
      <c r="B6" s="6">
        <v>1</v>
      </c>
      <c r="C6" s="6">
        <v>98</v>
      </c>
      <c r="D6" s="7" t="s">
        <v>15</v>
      </c>
    </row>
    <row r="7" spans="1:4" ht="15.6" x14ac:dyDescent="0.3">
      <c r="A7" s="8" t="s">
        <v>6</v>
      </c>
      <c r="B7" s="6">
        <v>1</v>
      </c>
      <c r="C7" s="6">
        <v>98</v>
      </c>
      <c r="D7" s="7" t="s">
        <v>15</v>
      </c>
    </row>
    <row r="8" spans="1:4" ht="15.6" x14ac:dyDescent="0.3">
      <c r="A8" s="8" t="s">
        <v>7</v>
      </c>
      <c r="B8" s="9">
        <v>1.5</v>
      </c>
      <c r="C8" s="6">
        <v>98</v>
      </c>
      <c r="D8" s="10" t="s">
        <v>13</v>
      </c>
    </row>
    <row r="9" spans="1:4" ht="15.6" x14ac:dyDescent="0.3">
      <c r="A9" s="8" t="s">
        <v>8</v>
      </c>
      <c r="B9" s="9">
        <v>1</v>
      </c>
      <c r="C9" s="6">
        <v>70</v>
      </c>
      <c r="D9" s="10" t="s">
        <v>13</v>
      </c>
    </row>
    <row r="10" spans="1:4" ht="15.6" x14ac:dyDescent="0.3">
      <c r="A10" s="11" t="s">
        <v>9</v>
      </c>
      <c r="B10" s="9">
        <v>1.5</v>
      </c>
      <c r="C10" s="6">
        <v>98</v>
      </c>
      <c r="D10" s="10" t="s">
        <v>13</v>
      </c>
    </row>
    <row r="11" spans="1:4" ht="15.6" x14ac:dyDescent="0.3">
      <c r="A11" s="11" t="s">
        <v>14</v>
      </c>
      <c r="B11" s="9">
        <v>1</v>
      </c>
      <c r="C11" s="6">
        <v>98</v>
      </c>
      <c r="D11" s="10" t="s">
        <v>13</v>
      </c>
    </row>
    <row r="12" spans="1:4" ht="15.6" x14ac:dyDescent="0.3">
      <c r="A12" s="12"/>
      <c r="B12" s="13"/>
      <c r="C12" s="13"/>
      <c r="D12" s="10"/>
    </row>
    <row r="13" spans="1:4" ht="15.6" x14ac:dyDescent="0.3">
      <c r="A13" s="12"/>
      <c r="B13" s="13"/>
      <c r="C13" s="13"/>
      <c r="D13" s="10"/>
    </row>
    <row r="14" spans="1:4" ht="16.2" thickBot="1" x14ac:dyDescent="0.35">
      <c r="A14" s="14"/>
      <c r="B14" s="15"/>
      <c r="C14" s="15"/>
      <c r="D14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tabSelected="1" workbookViewId="0">
      <selection activeCell="B21" sqref="B21"/>
    </sheetView>
  </sheetViews>
  <sheetFormatPr defaultRowHeight="14.4" x14ac:dyDescent="0.3"/>
  <cols>
    <col min="1" max="1" width="28.5546875" bestFit="1" customWidth="1"/>
    <col min="6" max="6" width="11.109375" bestFit="1" customWidth="1"/>
    <col min="7" max="7" width="13.6640625" bestFit="1" customWidth="1"/>
  </cols>
  <sheetData>
    <row r="1" spans="1:7" ht="15" thickBot="1" x14ac:dyDescent="0.35">
      <c r="A1" s="1" t="s">
        <v>0</v>
      </c>
    </row>
    <row r="2" spans="1:7" ht="16.2" thickBot="1" x14ac:dyDescent="0.35">
      <c r="A2" s="2" t="s">
        <v>1</v>
      </c>
      <c r="B2" s="3" t="s">
        <v>2</v>
      </c>
      <c r="C2" s="3" t="s">
        <v>3</v>
      </c>
      <c r="D2" s="4" t="s">
        <v>4</v>
      </c>
      <c r="E2" s="17" t="s">
        <v>17</v>
      </c>
      <c r="F2" s="17" t="s">
        <v>18</v>
      </c>
      <c r="G2" s="17" t="s">
        <v>20</v>
      </c>
    </row>
    <row r="3" spans="1:7" ht="15.6" x14ac:dyDescent="0.3">
      <c r="A3" s="5" t="s">
        <v>10</v>
      </c>
      <c r="B3" s="6">
        <v>1</v>
      </c>
      <c r="C3" s="6">
        <v>95</v>
      </c>
      <c r="D3" s="7" t="s">
        <v>16</v>
      </c>
      <c r="E3">
        <v>4.5</v>
      </c>
      <c r="F3" s="18">
        <v>120000</v>
      </c>
      <c r="G3">
        <f>B3*E3*F3</f>
        <v>540000</v>
      </c>
    </row>
    <row r="4" spans="1:7" ht="15.6" x14ac:dyDescent="0.3">
      <c r="A4" s="8" t="s">
        <v>11</v>
      </c>
      <c r="B4" s="6">
        <v>3</v>
      </c>
      <c r="C4" s="6">
        <v>95</v>
      </c>
      <c r="D4" s="7" t="s">
        <v>16</v>
      </c>
      <c r="E4">
        <v>4.5</v>
      </c>
      <c r="F4" s="19">
        <v>70000</v>
      </c>
      <c r="G4">
        <f t="shared" ref="G4:G12" si="0">B4*E4*F4</f>
        <v>945000</v>
      </c>
    </row>
    <row r="5" spans="1:7" ht="15.6" x14ac:dyDescent="0.3">
      <c r="A5" s="8" t="s">
        <v>12</v>
      </c>
      <c r="B5" s="9">
        <v>1</v>
      </c>
      <c r="C5" s="6">
        <v>95</v>
      </c>
      <c r="D5" s="7" t="s">
        <v>16</v>
      </c>
      <c r="E5">
        <v>4.5</v>
      </c>
      <c r="F5" s="18">
        <v>15000</v>
      </c>
      <c r="G5">
        <f t="shared" si="0"/>
        <v>67500</v>
      </c>
    </row>
    <row r="6" spans="1:7" ht="15.6" x14ac:dyDescent="0.3">
      <c r="A6" s="5" t="s">
        <v>5</v>
      </c>
      <c r="B6" s="6">
        <v>1</v>
      </c>
      <c r="C6" s="6">
        <v>98</v>
      </c>
      <c r="D6" s="7" t="s">
        <v>15</v>
      </c>
      <c r="E6">
        <v>4.5</v>
      </c>
      <c r="F6" s="19">
        <v>90000</v>
      </c>
      <c r="G6">
        <f t="shared" si="0"/>
        <v>405000</v>
      </c>
    </row>
    <row r="7" spans="1:7" ht="15.6" x14ac:dyDescent="0.3">
      <c r="A7" s="8" t="s">
        <v>6</v>
      </c>
      <c r="B7" s="6">
        <v>1</v>
      </c>
      <c r="C7" s="6">
        <v>98</v>
      </c>
      <c r="D7" s="7" t="s">
        <v>15</v>
      </c>
      <c r="E7">
        <v>4.5</v>
      </c>
      <c r="F7" s="19">
        <v>60000</v>
      </c>
      <c r="G7">
        <f t="shared" si="0"/>
        <v>270000</v>
      </c>
    </row>
    <row r="8" spans="1:7" ht="15.6" x14ac:dyDescent="0.3">
      <c r="A8" s="8" t="s">
        <v>7</v>
      </c>
      <c r="B8" s="9">
        <v>0.5</v>
      </c>
      <c r="C8" s="6">
        <v>98</v>
      </c>
      <c r="D8" s="10" t="s">
        <v>13</v>
      </c>
      <c r="E8">
        <v>4.5</v>
      </c>
      <c r="F8" s="18">
        <v>120000</v>
      </c>
      <c r="G8">
        <f t="shared" si="0"/>
        <v>270000</v>
      </c>
    </row>
    <row r="9" spans="1:7" ht="15.6" x14ac:dyDescent="0.3">
      <c r="A9" s="8" t="s">
        <v>19</v>
      </c>
      <c r="B9" s="9">
        <v>1</v>
      </c>
      <c r="C9" s="6">
        <v>98</v>
      </c>
      <c r="D9" s="10" t="s">
        <v>13</v>
      </c>
      <c r="E9">
        <v>4.5</v>
      </c>
      <c r="F9" s="19">
        <v>40000</v>
      </c>
      <c r="G9">
        <f t="shared" si="0"/>
        <v>180000</v>
      </c>
    </row>
    <row r="10" spans="1:7" ht="15.6" x14ac:dyDescent="0.3">
      <c r="A10" s="8" t="s">
        <v>8</v>
      </c>
      <c r="B10" s="9">
        <v>1</v>
      </c>
      <c r="C10" s="6">
        <v>70</v>
      </c>
      <c r="D10" s="10" t="s">
        <v>13</v>
      </c>
      <c r="E10">
        <v>3.5</v>
      </c>
      <c r="F10" s="18">
        <v>80000</v>
      </c>
      <c r="G10">
        <f t="shared" si="0"/>
        <v>280000</v>
      </c>
    </row>
    <row r="11" spans="1:7" ht="15.6" x14ac:dyDescent="0.3">
      <c r="A11" s="11" t="s">
        <v>9</v>
      </c>
      <c r="B11" s="9">
        <v>1.5</v>
      </c>
      <c r="C11" s="6">
        <v>98</v>
      </c>
      <c r="D11" s="10" t="s">
        <v>13</v>
      </c>
      <c r="E11">
        <v>4.5</v>
      </c>
      <c r="F11" s="18">
        <v>120000</v>
      </c>
      <c r="G11">
        <f t="shared" si="0"/>
        <v>810000</v>
      </c>
    </row>
    <row r="12" spans="1:7" ht="15.6" x14ac:dyDescent="0.3">
      <c r="A12" s="11" t="s">
        <v>14</v>
      </c>
      <c r="B12" s="9">
        <v>1</v>
      </c>
      <c r="C12" s="6">
        <v>98</v>
      </c>
      <c r="D12" s="10" t="s">
        <v>13</v>
      </c>
      <c r="E12">
        <v>4.5</v>
      </c>
      <c r="F12" s="18">
        <v>120000</v>
      </c>
      <c r="G12">
        <f t="shared" si="0"/>
        <v>540000</v>
      </c>
    </row>
    <row r="15" spans="1:7" s="20" customFormat="1" x14ac:dyDescent="0.3">
      <c r="F15" s="20" t="s">
        <v>21</v>
      </c>
      <c r="G15" s="21">
        <f>SUM(G3:G12)</f>
        <v>4307500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demo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2026-03-09T12:57:35Z</dcterms:modified>
</cp:coreProperties>
</file>